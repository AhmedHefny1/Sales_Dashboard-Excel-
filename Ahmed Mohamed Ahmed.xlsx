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ORIGINAL\Documents\"/>
    </mc:Choice>
  </mc:AlternateContent>
  <xr:revisionPtr revIDLastSave="0" documentId="13_ncr:1_{14A7E6E0-4038-4F21-91FC-A620645A5345}" xr6:coauthVersionLast="47" xr6:coauthVersionMax="47" xr10:uidLastSave="{00000000-0000-0000-0000-000000000000}"/>
  <bookViews>
    <workbookView xWindow="-108" yWindow="-108" windowWidth="23256" windowHeight="12576" firstSheet="1" activeTab="3" xr2:uid="{ABA3C28C-2418-48BE-8568-67097A970FF0}"/>
  </bookViews>
  <sheets>
    <sheet name="Detail1" sheetId="4" state="hidden" r:id="rId1"/>
    <sheet name="Sales" sheetId="2" r:id="rId2"/>
    <sheet name="Sheet2" sheetId="3" r:id="rId3"/>
    <sheet name="Dash_Board" sheetId="1" r:id="rId4"/>
  </sheets>
  <definedNames>
    <definedName name="Slicer_Month">#N/A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 r="D4" i="2"/>
  <c r="I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3C8D9A-B020-4D2D-8348-64E8C7BB5F65}" keepAlive="1" name="Query - Sales" description="Connection to the 'Sales' query in the workbook." type="5" refreshedVersion="8" background="1">
    <dbPr connection="Provider=Microsoft.Mashup.OleDb.1;Data Source=$Workbook$;Location=Sales;Extended Properties=&quot;&quot;" command="SELECT * FROM [Sales]"/>
  </connection>
</connections>
</file>

<file path=xl/sharedStrings.xml><?xml version="1.0" encoding="utf-8"?>
<sst xmlns="http://schemas.openxmlformats.org/spreadsheetml/2006/main" count="399" uniqueCount="101">
  <si>
    <t>Sum of Amount</t>
  </si>
  <si>
    <t>Row Labels</t>
  </si>
  <si>
    <t>East</t>
  </si>
  <si>
    <t>North</t>
  </si>
  <si>
    <t>South</t>
  </si>
  <si>
    <t>West</t>
  </si>
  <si>
    <t>Grand Total</t>
  </si>
  <si>
    <t>Sum of Qty</t>
  </si>
  <si>
    <t>January</t>
  </si>
  <si>
    <t>July</t>
  </si>
  <si>
    <t>September</t>
  </si>
  <si>
    <t>October</t>
  </si>
  <si>
    <t>November</t>
  </si>
  <si>
    <t>December</t>
  </si>
  <si>
    <t>Backpack</t>
  </si>
  <si>
    <t>Chair</t>
  </si>
  <si>
    <t>Charger</t>
  </si>
  <si>
    <t>Desk Lamp</t>
  </si>
  <si>
    <t>E-Reader</t>
  </si>
  <si>
    <t>External HDD</t>
  </si>
  <si>
    <t>Gaming Mouse Pad</t>
  </si>
  <si>
    <t>Graphics Card</t>
  </si>
  <si>
    <t>Headset</t>
  </si>
  <si>
    <t>Keyboard</t>
  </si>
  <si>
    <t>Laptop Bag</t>
  </si>
  <si>
    <t>Memory Card</t>
  </si>
  <si>
    <t>Monitor</t>
  </si>
  <si>
    <t>Mouse</t>
  </si>
  <si>
    <t>Notebook</t>
  </si>
  <si>
    <t>Pen Set</t>
  </si>
  <si>
    <t>Power Bank</t>
  </si>
  <si>
    <t>Printer</t>
  </si>
  <si>
    <t>Projector</t>
  </si>
  <si>
    <t>Router</t>
  </si>
  <si>
    <t>Smart Watch</t>
  </si>
  <si>
    <t>Speaker Set</t>
  </si>
  <si>
    <t>SSD Drive</t>
  </si>
  <si>
    <t>USB Drive</t>
  </si>
  <si>
    <t>USB Hub</t>
  </si>
  <si>
    <t>Web Camera</t>
  </si>
  <si>
    <t>Wireless Charger</t>
  </si>
  <si>
    <t>Count of Amount</t>
  </si>
  <si>
    <t>Sl No</t>
  </si>
  <si>
    <t>Date</t>
  </si>
  <si>
    <t>Customer</t>
  </si>
  <si>
    <t>Region</t>
  </si>
  <si>
    <t>Item</t>
  </si>
  <si>
    <t>Qty</t>
  </si>
  <si>
    <t>Price</t>
  </si>
  <si>
    <t>Amount</t>
  </si>
  <si>
    <t>Month</t>
  </si>
  <si>
    <t>Year</t>
  </si>
  <si>
    <t>Emily Johnson</t>
  </si>
  <si>
    <t>Olivia Brown</t>
  </si>
  <si>
    <t>Ramesh Kumar</t>
  </si>
  <si>
    <t>Maria Angelica</t>
  </si>
  <si>
    <t>Mohammad Ali</t>
  </si>
  <si>
    <t>Fatima Al Mak</t>
  </si>
  <si>
    <t>Ethan Lee</t>
  </si>
  <si>
    <t>Ava Jenkins</t>
  </si>
  <si>
    <t>Lukas Müller</t>
  </si>
  <si>
    <t>Yui Nakamura</t>
  </si>
  <si>
    <t>Alex Naser</t>
  </si>
  <si>
    <t>Layla Hassan</t>
  </si>
  <si>
    <t>Faisal Ali</t>
  </si>
  <si>
    <t>Dana Rimawi</t>
  </si>
  <si>
    <t>Abdullah Alshamri</t>
  </si>
  <si>
    <t>Reem Khalid</t>
  </si>
  <si>
    <t>Tareq Sayed</t>
  </si>
  <si>
    <t>Maha Fares</t>
  </si>
  <si>
    <t>Walid Saleh</t>
  </si>
  <si>
    <t>Nouf Alabdullah</t>
  </si>
  <si>
    <t>Yasser Ibrahim</t>
  </si>
  <si>
    <t>Amal Majed</t>
  </si>
  <si>
    <t>Sami Rashid</t>
  </si>
  <si>
    <t>Jud Fahad</t>
  </si>
  <si>
    <t>Adel Hussein</t>
  </si>
  <si>
    <t>Samar Nabil</t>
  </si>
  <si>
    <t>Bader Mansour</t>
  </si>
  <si>
    <t>Huda Ghanem</t>
  </si>
  <si>
    <t>Majed Turki</t>
  </si>
  <si>
    <t>Fadia Saad</t>
  </si>
  <si>
    <t>لmily Johnson</t>
  </si>
  <si>
    <t xml:space="preserve"> Brown</t>
  </si>
  <si>
    <t xml:space="preserve">Ramesh </t>
  </si>
  <si>
    <t xml:space="preserve"> Angelica</t>
  </si>
  <si>
    <t xml:space="preserve"> Ali</t>
  </si>
  <si>
    <t xml:space="preserve"> Al Mak</t>
  </si>
  <si>
    <t xml:space="preserve">Ethan </t>
  </si>
  <si>
    <t xml:space="preserve">Ava </t>
  </si>
  <si>
    <t xml:space="preserve"> Khalid</t>
  </si>
  <si>
    <t xml:space="preserve">Tareq </t>
  </si>
  <si>
    <t xml:space="preserve"> Fares</t>
  </si>
  <si>
    <t xml:space="preserve">Walid </t>
  </si>
  <si>
    <t xml:space="preserve">Amal </t>
  </si>
  <si>
    <t xml:space="preserve"> Rashid</t>
  </si>
  <si>
    <t xml:space="preserve"> Hussein</t>
  </si>
  <si>
    <t xml:space="preserve"> Ghanem</t>
  </si>
  <si>
    <t xml:space="preserve">Majed </t>
  </si>
  <si>
    <t xml:space="preserve">Fadia </t>
  </si>
  <si>
    <t>Details for 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</si>
</sst>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14" fontId="0" fillId="0" borderId="0" xfId="0" applyNumberFormat="1"/>
    <xf numFmtId="0" fontId="1" fillId="0" borderId="0" xfId="0" applyFont="1"/>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 Mohamed Ahmed.xlsx]Sales!PivotTable2</c:name>
    <c:fmtId val="4"/>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Total Cost Per Year</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Sales!$C$9</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Sales!$B$10:$B$12</c:f>
              <c:strCache>
                <c:ptCount val="2"/>
                <c:pt idx="0">
                  <c:v>2025</c:v>
                </c:pt>
                <c:pt idx="1">
                  <c:v>2026</c:v>
                </c:pt>
              </c:strCache>
            </c:strRef>
          </c:cat>
          <c:val>
            <c:numRef>
              <c:f>Sales!$C$10:$C$12</c:f>
              <c:numCache>
                <c:formatCode>General</c:formatCode>
                <c:ptCount val="2"/>
                <c:pt idx="0">
                  <c:v>1785280</c:v>
                </c:pt>
                <c:pt idx="1">
                  <c:v>38600</c:v>
                </c:pt>
              </c:numCache>
            </c:numRef>
          </c:val>
          <c:extLst>
            <c:ext xmlns:c16="http://schemas.microsoft.com/office/drawing/2014/chart" uri="{C3380CC4-5D6E-409C-BE32-E72D297353CC}">
              <c16:uniqueId val="{00000000-4B82-4FA5-B0EE-EC65C970E0CE}"/>
            </c:ext>
          </c:extLst>
        </c:ser>
        <c:dLbls>
          <c:showLegendKey val="0"/>
          <c:showVal val="0"/>
          <c:showCatName val="0"/>
          <c:showSerName val="0"/>
          <c:showPercent val="0"/>
          <c:showBubbleSize val="0"/>
        </c:dLbls>
        <c:gapWidth val="219"/>
        <c:overlap val="-27"/>
        <c:axId val="1384690304"/>
        <c:axId val="1384696424"/>
      </c:barChart>
      <c:catAx>
        <c:axId val="138469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96424"/>
        <c:crosses val="autoZero"/>
        <c:auto val="1"/>
        <c:lblAlgn val="ctr"/>
        <c:lblOffset val="100"/>
        <c:noMultiLvlLbl val="0"/>
      </c:catAx>
      <c:valAx>
        <c:axId val="1384696424"/>
        <c:scaling>
          <c:orientation val="minMax"/>
        </c:scaling>
        <c:delete val="1"/>
        <c:axPos val="l"/>
        <c:numFmt formatCode="General" sourceLinked="1"/>
        <c:majorTickMark val="out"/>
        <c:minorTickMark val="none"/>
        <c:tickLblPos val="nextTo"/>
        <c:crossAx val="138469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 Mohamed Ahmed.xlsx]Sales!PivotTable4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Cost Per</a:t>
            </a:r>
            <a:r>
              <a:rPr lang="en-US" sz="1800" b="1" baseline="0"/>
              <a:t> </a:t>
            </a:r>
            <a:r>
              <a:rPr lang="en-US" sz="1800" b="1"/>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8971819772468557E-2"/>
              <c:y val="-5.2272749879350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layout>
            <c:manualLayout>
              <c:x val="3.3196493333896462E-17"/>
              <c:y val="-3.4848499919567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Sales!$G$15</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FB48-49CD-86C5-3D5BC7CF9D3C}"/>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FB48-49CD-86C5-3D5BC7CF9D3C}"/>
              </c:ext>
            </c:extLst>
          </c:dPt>
          <c:dLbls>
            <c:dLbl>
              <c:idx val="0"/>
              <c:layout>
                <c:manualLayout>
                  <c:x val="-2.8971819772468557E-2"/>
                  <c:y val="-5.2272749879350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48-49CD-86C5-3D5BC7CF9D3C}"/>
                </c:ext>
              </c:extLst>
            </c:dLbl>
            <c:dLbl>
              <c:idx val="1"/>
              <c:layout>
                <c:manualLayout>
                  <c:x val="3.3196493333896462E-17"/>
                  <c:y val="-3.4848499919567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48-49CD-86C5-3D5BC7CF9D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Sales!$F$16:$F$22</c:f>
              <c:strCache>
                <c:ptCount val="6"/>
                <c:pt idx="0">
                  <c:v>January</c:v>
                </c:pt>
                <c:pt idx="1">
                  <c:v>July</c:v>
                </c:pt>
                <c:pt idx="2">
                  <c:v>September</c:v>
                </c:pt>
                <c:pt idx="3">
                  <c:v>October</c:v>
                </c:pt>
                <c:pt idx="4">
                  <c:v>November</c:v>
                </c:pt>
                <c:pt idx="5">
                  <c:v>December</c:v>
                </c:pt>
              </c:strCache>
            </c:strRef>
          </c:cat>
          <c:val>
            <c:numRef>
              <c:f>Sales!$G$16:$G$22</c:f>
              <c:numCache>
                <c:formatCode>General</c:formatCode>
                <c:ptCount val="6"/>
                <c:pt idx="0">
                  <c:v>3300</c:v>
                </c:pt>
                <c:pt idx="1">
                  <c:v>35300</c:v>
                </c:pt>
                <c:pt idx="2">
                  <c:v>644440</c:v>
                </c:pt>
                <c:pt idx="3">
                  <c:v>42050</c:v>
                </c:pt>
                <c:pt idx="4">
                  <c:v>797890</c:v>
                </c:pt>
                <c:pt idx="5">
                  <c:v>300900</c:v>
                </c:pt>
              </c:numCache>
            </c:numRef>
          </c:val>
          <c:smooth val="0"/>
          <c:extLst>
            <c:ext xmlns:c16="http://schemas.microsoft.com/office/drawing/2014/chart" uri="{C3380CC4-5D6E-409C-BE32-E72D297353CC}">
              <c16:uniqueId val="{00000000-FB48-49CD-86C5-3D5BC7CF9D3C}"/>
            </c:ext>
          </c:extLst>
        </c:ser>
        <c:dLbls>
          <c:dLblPos val="r"/>
          <c:showLegendKey val="0"/>
          <c:showVal val="1"/>
          <c:showCatName val="0"/>
          <c:showSerName val="0"/>
          <c:showPercent val="0"/>
          <c:showBubbleSize val="0"/>
        </c:dLbls>
        <c:smooth val="0"/>
        <c:axId val="1384695704"/>
        <c:axId val="1384695344"/>
      </c:lineChart>
      <c:catAx>
        <c:axId val="1384695704"/>
        <c:scaling>
          <c:orientation val="minMax"/>
        </c:scaling>
        <c:delete val="0"/>
        <c:axPos val="b"/>
        <c:numFmt formatCode="&quot;$&quot;#,##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95344"/>
        <c:crosses val="autoZero"/>
        <c:auto val="1"/>
        <c:lblAlgn val="ctr"/>
        <c:lblOffset val="100"/>
        <c:noMultiLvlLbl val="0"/>
      </c:catAx>
      <c:valAx>
        <c:axId val="1384695344"/>
        <c:scaling>
          <c:orientation val="minMax"/>
        </c:scaling>
        <c:delete val="1"/>
        <c:axPos val="l"/>
        <c:numFmt formatCode="General" sourceLinked="1"/>
        <c:majorTickMark val="out"/>
        <c:minorTickMark val="none"/>
        <c:tickLblPos val="nextTo"/>
        <c:crossAx val="138469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 Mohamed Ahmed.xlsx]Sales!PivotTable1</c:name>
    <c:fmtId val="22"/>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rPr>
              <a:t>Total Cost Per </a:t>
            </a:r>
            <a:r>
              <a:rPr lang="en-US" sz="1800" b="1" i="0" u="none" strike="noStrike" kern="1200" spc="0" baseline="0">
                <a:solidFill>
                  <a:sysClr val="windowText" lastClr="000000">
                    <a:lumMod val="65000"/>
                    <a:lumOff val="35000"/>
                  </a:sysClr>
                </a:solidFill>
                <a:latin typeface="+mn-lt"/>
                <a:ea typeface="+mn-ea"/>
                <a:cs typeface="+mn-cs"/>
              </a:rPr>
              <a:t>Region</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DF-42A6-B046-7C3D2BA906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FDF-42A6-B046-7C3D2BA906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FDF-42A6-B046-7C3D2BA906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FA-42C6-B493-E3296D5CB1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Sales!$A$2:$A$6</c:f>
              <c:strCache>
                <c:ptCount val="4"/>
                <c:pt idx="0">
                  <c:v>East</c:v>
                </c:pt>
                <c:pt idx="1">
                  <c:v>North</c:v>
                </c:pt>
                <c:pt idx="2">
                  <c:v>South</c:v>
                </c:pt>
                <c:pt idx="3">
                  <c:v>West</c:v>
                </c:pt>
              </c:strCache>
            </c:strRef>
          </c:cat>
          <c:val>
            <c:numRef>
              <c:f>Sales!$B$2:$B$6</c:f>
              <c:numCache>
                <c:formatCode>General</c:formatCode>
                <c:ptCount val="4"/>
                <c:pt idx="0">
                  <c:v>289280</c:v>
                </c:pt>
                <c:pt idx="1">
                  <c:v>522340</c:v>
                </c:pt>
                <c:pt idx="2">
                  <c:v>819760</c:v>
                </c:pt>
                <c:pt idx="3">
                  <c:v>192500</c:v>
                </c:pt>
              </c:numCache>
            </c:numRef>
          </c:val>
          <c:extLst>
            <c:ext xmlns:c16="http://schemas.microsoft.com/office/drawing/2014/chart" uri="{C3380CC4-5D6E-409C-BE32-E72D297353CC}">
              <c16:uniqueId val="{00000006-9FDF-42A6-B046-7C3D2BA906A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4</xdr:row>
      <xdr:rowOff>38101</xdr:rowOff>
    </xdr:from>
    <xdr:to>
      <xdr:col>8</xdr:col>
      <xdr:colOff>335280</xdr:colOff>
      <xdr:row>9</xdr:row>
      <xdr:rowOff>137160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F4B314D-8D81-AC68-6911-4A9EBE57D9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94020" y="769621"/>
              <a:ext cx="182880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251460</xdr:colOff>
      <xdr:row>9</xdr:row>
      <xdr:rowOff>30481</xdr:rowOff>
    </xdr:from>
    <xdr:to>
      <xdr:col>13</xdr:col>
      <xdr:colOff>251460</xdr:colOff>
      <xdr:row>13</xdr:row>
      <xdr:rowOff>38101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48661E78-DF14-93AB-EC17-25D4289170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95360" y="1676401"/>
              <a:ext cx="1828800"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14</xdr:row>
      <xdr:rowOff>175260</xdr:rowOff>
    </xdr:from>
    <xdr:to>
      <xdr:col>12</xdr:col>
      <xdr:colOff>114300</xdr:colOff>
      <xdr:row>21</xdr:row>
      <xdr:rowOff>175259</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690B6FCD-C572-A91C-FF39-0FD7B850DB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48600" y="2735580"/>
              <a:ext cx="1828800" cy="128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22860</xdr:rowOff>
    </xdr:from>
    <xdr:to>
      <xdr:col>2</xdr:col>
      <xdr:colOff>515787</xdr:colOff>
      <xdr:row>33</xdr:row>
      <xdr:rowOff>137160</xdr:rowOff>
    </xdr:to>
    <xdr:sp macro="" textlink="">
      <xdr:nvSpPr>
        <xdr:cNvPr id="2" name="Rectangle 1">
          <a:extLst>
            <a:ext uri="{FF2B5EF4-FFF2-40B4-BE49-F238E27FC236}">
              <a16:creationId xmlns:a16="http://schemas.microsoft.com/office/drawing/2014/main" id="{351CD7B2-8948-F403-D788-C0F56BDA6EE5}"/>
            </a:ext>
          </a:extLst>
        </xdr:cNvPr>
        <xdr:cNvSpPr/>
      </xdr:nvSpPr>
      <xdr:spPr>
        <a:xfrm>
          <a:off x="0" y="3733469"/>
          <a:ext cx="1734987" cy="25261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15240</xdr:rowOff>
    </xdr:from>
    <xdr:to>
      <xdr:col>2</xdr:col>
      <xdr:colOff>510263</xdr:colOff>
      <xdr:row>9</xdr:row>
      <xdr:rowOff>175260</xdr:rowOff>
    </xdr:to>
    <xdr:sp macro="" textlink="">
      <xdr:nvSpPr>
        <xdr:cNvPr id="3" name="Rectangle 2">
          <a:extLst>
            <a:ext uri="{FF2B5EF4-FFF2-40B4-BE49-F238E27FC236}">
              <a16:creationId xmlns:a16="http://schemas.microsoft.com/office/drawing/2014/main" id="{E648456C-0E89-48D3-910D-6DC3AB377A74}"/>
            </a:ext>
          </a:extLst>
        </xdr:cNvPr>
        <xdr:cNvSpPr/>
      </xdr:nvSpPr>
      <xdr:spPr>
        <a:xfrm>
          <a:off x="7620" y="15240"/>
          <a:ext cx="1721843" cy="18297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10</xdr:row>
      <xdr:rowOff>22860</xdr:rowOff>
    </xdr:from>
    <xdr:to>
      <xdr:col>2</xdr:col>
      <xdr:colOff>516835</xdr:colOff>
      <xdr:row>19</xdr:row>
      <xdr:rowOff>167640</xdr:rowOff>
    </xdr:to>
    <xdr:sp macro="" textlink="">
      <xdr:nvSpPr>
        <xdr:cNvPr id="4" name="Rectangle 3">
          <a:extLst>
            <a:ext uri="{FF2B5EF4-FFF2-40B4-BE49-F238E27FC236}">
              <a16:creationId xmlns:a16="http://schemas.microsoft.com/office/drawing/2014/main" id="{B050C90A-0700-48D2-B997-FA940350B0DC}"/>
            </a:ext>
          </a:extLst>
        </xdr:cNvPr>
        <xdr:cNvSpPr/>
      </xdr:nvSpPr>
      <xdr:spPr>
        <a:xfrm>
          <a:off x="7620" y="1878164"/>
          <a:ext cx="1728415" cy="18145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xdr:row>
      <xdr:rowOff>160020</xdr:rowOff>
    </xdr:from>
    <xdr:to>
      <xdr:col>2</xdr:col>
      <xdr:colOff>503583</xdr:colOff>
      <xdr:row>9</xdr:row>
      <xdr:rowOff>76200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3A9A3DB3-78E1-4A06-9335-C9633312D0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531081"/>
              <a:ext cx="1722783" cy="1214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3975</xdr:colOff>
      <xdr:row>13</xdr:row>
      <xdr:rowOff>134178</xdr:rowOff>
    </xdr:from>
    <xdr:to>
      <xdr:col>2</xdr:col>
      <xdr:colOff>496957</xdr:colOff>
      <xdr:row>19</xdr:row>
      <xdr:rowOff>9608</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04667997-7F23-4E72-9CF9-1074D762DC7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975" y="2546074"/>
              <a:ext cx="1712182" cy="988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22</xdr:row>
      <xdr:rowOff>152400</xdr:rowOff>
    </xdr:from>
    <xdr:to>
      <xdr:col>2</xdr:col>
      <xdr:colOff>528482</xdr:colOff>
      <xdr:row>31</xdr:row>
      <xdr:rowOff>99060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3413FDFE-645B-4C98-9CA6-550760BC6B4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8100" y="4234070"/>
              <a:ext cx="1709582" cy="1616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210379</xdr:colOff>
      <xdr:row>20</xdr:row>
      <xdr:rowOff>25841</xdr:rowOff>
    </xdr:from>
    <xdr:ext cx="1287780" cy="457201"/>
    <xdr:sp macro="" textlink="">
      <xdr:nvSpPr>
        <xdr:cNvPr id="9" name="Rectangle 8">
          <a:extLst>
            <a:ext uri="{FF2B5EF4-FFF2-40B4-BE49-F238E27FC236}">
              <a16:creationId xmlns:a16="http://schemas.microsoft.com/office/drawing/2014/main" id="{C475151A-522F-B6B5-B3DC-261D38E37EFB}"/>
            </a:ext>
          </a:extLst>
        </xdr:cNvPr>
        <xdr:cNvSpPr/>
      </xdr:nvSpPr>
      <xdr:spPr>
        <a:xfrm>
          <a:off x="210379" y="3736450"/>
          <a:ext cx="1287780" cy="457201"/>
        </a:xfrm>
        <a:prstGeom prst="rect">
          <a:avLst/>
        </a:prstGeom>
        <a:noFill/>
      </xdr:spPr>
      <xdr:txBody>
        <a:bodyPr wrap="square" lIns="91440" tIns="45720" rIns="91440" bIns="45720">
          <a:noAutofit/>
        </a:bodyPr>
        <a:lstStyle/>
        <a:p>
          <a:pPr algn="ctr"/>
          <a:r>
            <a:rPr lang="en-US" sz="2800" b="1" cap="none" spc="0">
              <a:ln w="0"/>
              <a:solidFill>
                <a:schemeClr val="tx1"/>
              </a:solidFill>
              <a:effectLst>
                <a:outerShdw blurRad="38100" dist="19050" dir="2700000" algn="tl" rotWithShape="0">
                  <a:schemeClr val="dk1">
                    <a:alpha val="40000"/>
                  </a:schemeClr>
                </a:outerShdw>
              </a:effectLst>
              <a:latin typeface="+mn-lt"/>
              <a:ea typeface="+mn-ea"/>
              <a:cs typeface="+mn-cs"/>
            </a:rPr>
            <a:t>Months</a:t>
          </a:r>
        </a:p>
      </xdr:txBody>
    </xdr:sp>
    <xdr:clientData/>
  </xdr:oneCellAnchor>
  <xdr:oneCellAnchor>
    <xdr:from>
      <xdr:col>0</xdr:col>
      <xdr:colOff>77858</xdr:colOff>
      <xdr:row>10</xdr:row>
      <xdr:rowOff>63611</xdr:rowOff>
    </xdr:from>
    <xdr:ext cx="1399760" cy="530658"/>
    <xdr:sp macro="" textlink="">
      <xdr:nvSpPr>
        <xdr:cNvPr id="13" name="Rectangle 12">
          <a:extLst>
            <a:ext uri="{FF2B5EF4-FFF2-40B4-BE49-F238E27FC236}">
              <a16:creationId xmlns:a16="http://schemas.microsoft.com/office/drawing/2014/main" id="{3745EAEC-83DB-42EA-BDCA-3B7BFEF30754}"/>
            </a:ext>
          </a:extLst>
        </xdr:cNvPr>
        <xdr:cNvSpPr/>
      </xdr:nvSpPr>
      <xdr:spPr>
        <a:xfrm>
          <a:off x="77858" y="1918915"/>
          <a:ext cx="1399760" cy="530658"/>
        </a:xfrm>
        <a:prstGeom prst="rect">
          <a:avLst/>
        </a:prstGeom>
        <a:noFill/>
      </xdr:spPr>
      <xdr:txBody>
        <a:bodyPr wrap="square" lIns="91440" tIns="45720" rIns="91440" bIns="45720">
          <a:spAutoFit/>
        </a:bodyPr>
        <a:lstStyle/>
        <a:p>
          <a:pPr algn="ctr"/>
          <a:r>
            <a:rPr lang="en-US" sz="2800" b="1" cap="none" spc="0">
              <a:ln w="0"/>
              <a:solidFill>
                <a:schemeClr val="tx1"/>
              </a:solidFill>
              <a:effectLst>
                <a:outerShdw blurRad="38100" dist="19050" dir="2700000" algn="tl" rotWithShape="0">
                  <a:schemeClr val="dk1">
                    <a:alpha val="40000"/>
                  </a:schemeClr>
                </a:outerShdw>
              </a:effectLst>
            </a:rPr>
            <a:t>Years</a:t>
          </a:r>
        </a:p>
      </xdr:txBody>
    </xdr:sp>
    <xdr:clientData/>
  </xdr:oneCellAnchor>
  <xdr:oneCellAnchor>
    <xdr:from>
      <xdr:col>0</xdr:col>
      <xdr:colOff>198120</xdr:colOff>
      <xdr:row>0</xdr:row>
      <xdr:rowOff>30480</xdr:rowOff>
    </xdr:from>
    <xdr:ext cx="1279497" cy="530658"/>
    <xdr:sp macro="" textlink="">
      <xdr:nvSpPr>
        <xdr:cNvPr id="14" name="Rectangle 13">
          <a:extLst>
            <a:ext uri="{FF2B5EF4-FFF2-40B4-BE49-F238E27FC236}">
              <a16:creationId xmlns:a16="http://schemas.microsoft.com/office/drawing/2014/main" id="{47C7CA0F-C975-49FA-8832-912570DDF13C}"/>
            </a:ext>
          </a:extLst>
        </xdr:cNvPr>
        <xdr:cNvSpPr/>
      </xdr:nvSpPr>
      <xdr:spPr>
        <a:xfrm>
          <a:off x="198120" y="30480"/>
          <a:ext cx="1279497" cy="530658"/>
        </a:xfrm>
        <a:prstGeom prst="rect">
          <a:avLst/>
        </a:prstGeom>
        <a:noFill/>
      </xdr:spPr>
      <xdr:txBody>
        <a:bodyPr wrap="square" lIns="91440" tIns="45720" rIns="91440" bIns="45720">
          <a:spAutoFit/>
        </a:bodyPr>
        <a:lstStyle/>
        <a:p>
          <a:pPr algn="ctr"/>
          <a:r>
            <a:rPr lang="en-US" sz="2800" b="1" cap="none" spc="0">
              <a:ln w="0"/>
              <a:solidFill>
                <a:schemeClr val="tx1"/>
              </a:solidFill>
              <a:effectLst>
                <a:outerShdw blurRad="38100" dist="19050" dir="2700000" algn="tl" rotWithShape="0">
                  <a:schemeClr val="dk1">
                    <a:alpha val="40000"/>
                  </a:schemeClr>
                </a:outerShdw>
              </a:effectLst>
            </a:rPr>
            <a:t>Region</a:t>
          </a:r>
        </a:p>
      </xdr:txBody>
    </xdr:sp>
    <xdr:clientData/>
  </xdr:oneCellAnchor>
  <xdr:twoCellAnchor>
    <xdr:from>
      <xdr:col>2</xdr:col>
      <xdr:colOff>576469</xdr:colOff>
      <xdr:row>0</xdr:row>
      <xdr:rowOff>59635</xdr:rowOff>
    </xdr:from>
    <xdr:to>
      <xdr:col>22</xdr:col>
      <xdr:colOff>536712</xdr:colOff>
      <xdr:row>5</xdr:row>
      <xdr:rowOff>178905</xdr:rowOff>
    </xdr:to>
    <xdr:sp macro="" textlink="">
      <xdr:nvSpPr>
        <xdr:cNvPr id="16" name="Rectangle 15">
          <a:extLst>
            <a:ext uri="{FF2B5EF4-FFF2-40B4-BE49-F238E27FC236}">
              <a16:creationId xmlns:a16="http://schemas.microsoft.com/office/drawing/2014/main" id="{859E8EEE-5B95-2C6B-6D1D-FC6E49FD0ADB}"/>
            </a:ext>
          </a:extLst>
        </xdr:cNvPr>
        <xdr:cNvSpPr/>
      </xdr:nvSpPr>
      <xdr:spPr>
        <a:xfrm>
          <a:off x="1795669" y="59635"/>
          <a:ext cx="12152243" cy="10469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145773</xdr:colOff>
      <xdr:row>6</xdr:row>
      <xdr:rowOff>72888</xdr:rowOff>
    </xdr:from>
    <xdr:to>
      <xdr:col>8</xdr:col>
      <xdr:colOff>483704</xdr:colOff>
      <xdr:row>12</xdr:row>
      <xdr:rowOff>119272</xdr:rowOff>
    </xdr:to>
    <xdr:sp macro="" textlink="">
      <xdr:nvSpPr>
        <xdr:cNvPr id="17" name="Rectangle 16">
          <a:extLst>
            <a:ext uri="{FF2B5EF4-FFF2-40B4-BE49-F238E27FC236}">
              <a16:creationId xmlns:a16="http://schemas.microsoft.com/office/drawing/2014/main" id="{1347FA3E-9A61-084D-B37E-742EC09F8391}"/>
            </a:ext>
          </a:extLst>
        </xdr:cNvPr>
        <xdr:cNvSpPr/>
      </xdr:nvSpPr>
      <xdr:spPr>
        <a:xfrm>
          <a:off x="1974573" y="1186071"/>
          <a:ext cx="3385931" cy="11595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165652</xdr:colOff>
      <xdr:row>6</xdr:row>
      <xdr:rowOff>86139</xdr:rowOff>
    </xdr:from>
    <xdr:to>
      <xdr:col>14</xdr:col>
      <xdr:colOff>503583</xdr:colOff>
      <xdr:row>12</xdr:row>
      <xdr:rowOff>119270</xdr:rowOff>
    </xdr:to>
    <xdr:sp macro="" textlink="">
      <xdr:nvSpPr>
        <xdr:cNvPr id="18" name="Rectangle 17">
          <a:extLst>
            <a:ext uri="{FF2B5EF4-FFF2-40B4-BE49-F238E27FC236}">
              <a16:creationId xmlns:a16="http://schemas.microsoft.com/office/drawing/2014/main" id="{E6FF41F8-2D1F-479F-BFE9-9B7223AB3E76}"/>
            </a:ext>
          </a:extLst>
        </xdr:cNvPr>
        <xdr:cNvSpPr/>
      </xdr:nvSpPr>
      <xdr:spPr>
        <a:xfrm>
          <a:off x="5652052" y="1199322"/>
          <a:ext cx="3385931" cy="11463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125895</xdr:colOff>
      <xdr:row>6</xdr:row>
      <xdr:rowOff>106017</xdr:rowOff>
    </xdr:from>
    <xdr:to>
      <xdr:col>20</xdr:col>
      <xdr:colOff>463826</xdr:colOff>
      <xdr:row>12</xdr:row>
      <xdr:rowOff>139148</xdr:rowOff>
    </xdr:to>
    <xdr:sp macro="" textlink="">
      <xdr:nvSpPr>
        <xdr:cNvPr id="19" name="Rectangle 18">
          <a:extLst>
            <a:ext uri="{FF2B5EF4-FFF2-40B4-BE49-F238E27FC236}">
              <a16:creationId xmlns:a16="http://schemas.microsoft.com/office/drawing/2014/main" id="{34CCB13D-BDD2-4688-99C6-D0E6F2F6DC32}"/>
            </a:ext>
          </a:extLst>
        </xdr:cNvPr>
        <xdr:cNvSpPr/>
      </xdr:nvSpPr>
      <xdr:spPr>
        <a:xfrm>
          <a:off x="9269895" y="1219200"/>
          <a:ext cx="3385931" cy="11463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596347</xdr:colOff>
      <xdr:row>13</xdr:row>
      <xdr:rowOff>106016</xdr:rowOff>
    </xdr:from>
    <xdr:to>
      <xdr:col>22</xdr:col>
      <xdr:colOff>556590</xdr:colOff>
      <xdr:row>29</xdr:row>
      <xdr:rowOff>79512</xdr:rowOff>
    </xdr:to>
    <xdr:sp macro="" textlink="">
      <xdr:nvSpPr>
        <xdr:cNvPr id="20" name="Rectangle 19">
          <a:extLst>
            <a:ext uri="{FF2B5EF4-FFF2-40B4-BE49-F238E27FC236}">
              <a16:creationId xmlns:a16="http://schemas.microsoft.com/office/drawing/2014/main" id="{B72F94EC-0244-43B5-AF9F-9E1D62834B9E}"/>
            </a:ext>
          </a:extLst>
        </xdr:cNvPr>
        <xdr:cNvSpPr/>
      </xdr:nvSpPr>
      <xdr:spPr>
        <a:xfrm>
          <a:off x="1815547" y="2517912"/>
          <a:ext cx="12152243" cy="29419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9</xdr:col>
      <xdr:colOff>106019</xdr:colOff>
      <xdr:row>13</xdr:row>
      <xdr:rowOff>123246</xdr:rowOff>
    </xdr:from>
    <xdr:to>
      <xdr:col>14</xdr:col>
      <xdr:colOff>331305</xdr:colOff>
      <xdr:row>29</xdr:row>
      <xdr:rowOff>66261</xdr:rowOff>
    </xdr:to>
    <xdr:graphicFrame macro="">
      <xdr:nvGraphicFramePr>
        <xdr:cNvPr id="22" name="Chart 21">
          <a:extLst>
            <a:ext uri="{FF2B5EF4-FFF2-40B4-BE49-F238E27FC236}">
              <a16:creationId xmlns:a16="http://schemas.microsoft.com/office/drawing/2014/main" id="{BABA4C4F-D76E-493C-A1EF-0369C9888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382656</xdr:colOff>
      <xdr:row>13</xdr:row>
      <xdr:rowOff>119270</xdr:rowOff>
    </xdr:from>
    <xdr:to>
      <xdr:col>20</xdr:col>
      <xdr:colOff>212035</xdr:colOff>
      <xdr:row>29</xdr:row>
      <xdr:rowOff>66260</xdr:rowOff>
    </xdr:to>
    <xdr:graphicFrame macro="">
      <xdr:nvGraphicFramePr>
        <xdr:cNvPr id="23" name="Chart 22">
          <a:extLst>
            <a:ext uri="{FF2B5EF4-FFF2-40B4-BE49-F238E27FC236}">
              <a16:creationId xmlns:a16="http://schemas.microsoft.com/office/drawing/2014/main" id="{48F7E853-E3A2-4471-8BD4-EBD32AA65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357781</xdr:colOff>
      <xdr:row>0</xdr:row>
      <xdr:rowOff>0</xdr:rowOff>
    </xdr:from>
    <xdr:ext cx="4598568" cy="937693"/>
    <xdr:sp macro="" textlink="">
      <xdr:nvSpPr>
        <xdr:cNvPr id="24" name="Rectangle 23">
          <a:extLst>
            <a:ext uri="{FF2B5EF4-FFF2-40B4-BE49-F238E27FC236}">
              <a16:creationId xmlns:a16="http://schemas.microsoft.com/office/drawing/2014/main" id="{B357B3C3-4B40-E124-1DD4-99CC57E3209E}"/>
            </a:ext>
          </a:extLst>
        </xdr:cNvPr>
        <xdr:cNvSpPr/>
      </xdr:nvSpPr>
      <xdr:spPr>
        <a:xfrm>
          <a:off x="4624981" y="0"/>
          <a:ext cx="4598568" cy="937693"/>
        </a:xfrm>
        <a:prstGeom prst="rect">
          <a:avLst/>
        </a:prstGeom>
        <a:noFill/>
      </xdr:spPr>
      <xdr:txBody>
        <a:bodyPr wrap="none" lIns="91440" tIns="45720" rIns="91440" bIns="45720">
          <a:spAutoFit/>
        </a:bodyPr>
        <a:lstStyle/>
        <a:p>
          <a:pPr algn="ctr"/>
          <a:r>
            <a:rPr lang="en-US" sz="5400" b="1" cap="none" spc="0">
              <a:ln w="0"/>
              <a:solidFill>
                <a:schemeClr val="tx1"/>
              </a:solidFill>
              <a:effectLst>
                <a:outerShdw blurRad="38100" dist="19050" dir="2700000" algn="tl" rotWithShape="0">
                  <a:schemeClr val="dk1">
                    <a:alpha val="40000"/>
                  </a:schemeClr>
                </a:outerShdw>
              </a:effectLst>
            </a:rPr>
            <a:t>Report</a:t>
          </a:r>
          <a:r>
            <a:rPr lang="en-US" sz="5400" b="1" cap="none" spc="0" baseline="0">
              <a:ln w="0"/>
              <a:solidFill>
                <a:schemeClr val="tx1"/>
              </a:solidFill>
              <a:effectLst>
                <a:outerShdw blurRad="38100" dist="19050" dir="2700000" algn="tl" rotWithShape="0">
                  <a:schemeClr val="dk1">
                    <a:alpha val="40000"/>
                  </a:schemeClr>
                </a:outerShdw>
              </a:effectLst>
            </a:rPr>
            <a:t> Of Sales</a:t>
          </a:r>
          <a:endParaRPr lang="en-US" sz="54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16</xdr:col>
      <xdr:colOff>165649</xdr:colOff>
      <xdr:row>8</xdr:row>
      <xdr:rowOff>99393</xdr:rowOff>
    </xdr:from>
    <xdr:to>
      <xdr:col>17</xdr:col>
      <xdr:colOff>155449</xdr:colOff>
      <xdr:row>10</xdr:row>
      <xdr:rowOff>112644</xdr:rowOff>
    </xdr:to>
    <xdr:sp macro="" textlink="Sales!E9">
      <xdr:nvSpPr>
        <xdr:cNvPr id="25" name="TextBox 24">
          <a:extLst>
            <a:ext uri="{FF2B5EF4-FFF2-40B4-BE49-F238E27FC236}">
              <a16:creationId xmlns:a16="http://schemas.microsoft.com/office/drawing/2014/main" id="{5085885C-2E83-9D29-5D30-AA3025FB5719}"/>
            </a:ext>
          </a:extLst>
        </xdr:cNvPr>
        <xdr:cNvSpPr txBox="1"/>
      </xdr:nvSpPr>
      <xdr:spPr>
        <a:xfrm>
          <a:off x="9919249" y="1583636"/>
          <a:ext cx="599400" cy="38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60C60F-A192-43EE-9FEA-9DB66B17377C}" type="TxLink">
            <a:rPr lang="en-US" sz="2600" b="0" i="0" u="none" strike="noStrike">
              <a:solidFill>
                <a:srgbClr val="00B050"/>
              </a:solidFill>
              <a:latin typeface="Aptos Narrow"/>
            </a:rPr>
            <a:pPr algn="ctr"/>
            <a:t>84</a:t>
          </a:fld>
          <a:endParaRPr lang="en-US" sz="2600">
            <a:solidFill>
              <a:srgbClr val="00B050"/>
            </a:solidFill>
          </a:endParaRPr>
        </a:p>
      </xdr:txBody>
    </xdr:sp>
    <xdr:clientData/>
  </xdr:twoCellAnchor>
  <xdr:twoCellAnchor>
    <xdr:from>
      <xdr:col>4</xdr:col>
      <xdr:colOff>92763</xdr:colOff>
      <xdr:row>8</xdr:row>
      <xdr:rowOff>59476</xdr:rowOff>
    </xdr:from>
    <xdr:to>
      <xdr:col>6</xdr:col>
      <xdr:colOff>101955</xdr:colOff>
      <xdr:row>10</xdr:row>
      <xdr:rowOff>106016</xdr:rowOff>
    </xdr:to>
    <xdr:sp macro="" textlink="Sales!D4">
      <xdr:nvSpPr>
        <xdr:cNvPr id="26" name="TextBox 25">
          <a:extLst>
            <a:ext uri="{FF2B5EF4-FFF2-40B4-BE49-F238E27FC236}">
              <a16:creationId xmlns:a16="http://schemas.microsoft.com/office/drawing/2014/main" id="{0F2704FF-12DB-38F7-2BE1-D47F57D8AF37}"/>
            </a:ext>
          </a:extLst>
        </xdr:cNvPr>
        <xdr:cNvSpPr txBox="1"/>
      </xdr:nvSpPr>
      <xdr:spPr>
        <a:xfrm>
          <a:off x="2531163" y="1543719"/>
          <a:ext cx="1228392" cy="417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6445E9-DFA2-4419-91C6-EF9F5D2C9790}" type="TxLink">
            <a:rPr lang="en-US" sz="2600" b="0" i="0" u="none" strike="noStrike">
              <a:solidFill>
                <a:srgbClr val="00B050"/>
              </a:solidFill>
              <a:latin typeface="Aptos Narrow"/>
            </a:rPr>
            <a:pPr algn="ctr"/>
            <a:t>1823880</a:t>
          </a:fld>
          <a:endParaRPr lang="en-US" sz="2600">
            <a:solidFill>
              <a:srgbClr val="00B050"/>
            </a:solidFill>
          </a:endParaRPr>
        </a:p>
      </xdr:txBody>
    </xdr:sp>
    <xdr:clientData/>
  </xdr:twoCellAnchor>
  <xdr:twoCellAnchor>
    <xdr:from>
      <xdr:col>10</xdr:col>
      <xdr:colOff>119269</xdr:colOff>
      <xdr:row>8</xdr:row>
      <xdr:rowOff>92764</xdr:rowOff>
    </xdr:from>
    <xdr:to>
      <xdr:col>12</xdr:col>
      <xdr:colOff>13253</xdr:colOff>
      <xdr:row>10</xdr:row>
      <xdr:rowOff>92764</xdr:rowOff>
    </xdr:to>
    <xdr:sp macro="" textlink="Sales!I27">
      <xdr:nvSpPr>
        <xdr:cNvPr id="27" name="TextBox 26">
          <a:extLst>
            <a:ext uri="{FF2B5EF4-FFF2-40B4-BE49-F238E27FC236}">
              <a16:creationId xmlns:a16="http://schemas.microsoft.com/office/drawing/2014/main" id="{700076A5-B89B-D8E0-DA2F-055AC74DD073}"/>
            </a:ext>
          </a:extLst>
        </xdr:cNvPr>
        <xdr:cNvSpPr txBox="1"/>
      </xdr:nvSpPr>
      <xdr:spPr>
        <a:xfrm>
          <a:off x="6215269" y="1577007"/>
          <a:ext cx="1113184" cy="37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1DBA89-7594-49C1-9593-4371824D212D}" type="TxLink">
            <a:rPr lang="en-US" sz="2600" b="0" i="0" u="none" strike="noStrike" cap="none" spc="0">
              <a:ln w="0"/>
              <a:solidFill>
                <a:srgbClr val="00B050"/>
              </a:solidFill>
              <a:effectLst>
                <a:outerShdw blurRad="38100" dist="19050" dir="2700000" algn="tl" rotWithShape="0">
                  <a:schemeClr val="dk1">
                    <a:alpha val="40000"/>
                  </a:schemeClr>
                </a:outerShdw>
              </a:effectLst>
              <a:latin typeface="Aptos Narrow"/>
            </a:rPr>
            <a:pPr algn="ctr"/>
            <a:t>11191</a:t>
          </a:fld>
          <a:endParaRPr lang="en-US" sz="2600" b="0"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editAs="oneCell">
    <xdr:from>
      <xdr:col>6</xdr:col>
      <xdr:colOff>337931</xdr:colOff>
      <xdr:row>6</xdr:row>
      <xdr:rowOff>140740</xdr:rowOff>
    </xdr:from>
    <xdr:to>
      <xdr:col>8</xdr:col>
      <xdr:colOff>311427</xdr:colOff>
      <xdr:row>12</xdr:row>
      <xdr:rowOff>90714</xdr:rowOff>
    </xdr:to>
    <xdr:pic>
      <xdr:nvPicPr>
        <xdr:cNvPr id="28" name="Picture 27" descr="‪Money - Free business and finance icons‬‏">
          <a:extLst>
            <a:ext uri="{FF2B5EF4-FFF2-40B4-BE49-F238E27FC236}">
              <a16:creationId xmlns:a16="http://schemas.microsoft.com/office/drawing/2014/main" id="{57C2962B-5396-1F6D-D935-B7AEA890A7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95531" y="1253923"/>
          <a:ext cx="1192696" cy="106315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443949</xdr:colOff>
      <xdr:row>6</xdr:row>
      <xdr:rowOff>177281</xdr:rowOff>
    </xdr:from>
    <xdr:to>
      <xdr:col>14</xdr:col>
      <xdr:colOff>298175</xdr:colOff>
      <xdr:row>12</xdr:row>
      <xdr:rowOff>54701</xdr:rowOff>
    </xdr:to>
    <xdr:pic>
      <xdr:nvPicPr>
        <xdr:cNvPr id="31" name="Picture 30" descr="‪Line Graph Icon Vector Art, Icons, and Graphics for Free Download‬‏">
          <a:extLst>
            <a:ext uri="{FF2B5EF4-FFF2-40B4-BE49-F238E27FC236}">
              <a16:creationId xmlns:a16="http://schemas.microsoft.com/office/drawing/2014/main" id="{FDD56CEB-A75B-8662-DDB6-6B8D5EF8E802}"/>
            </a:ext>
          </a:extLst>
        </xdr:cNvPr>
        <xdr:cNvPicPr>
          <a:picLocks noChangeAspect="1"/>
        </xdr:cNvPicPr>
      </xdr:nvPicPr>
      <xdr:blipFill>
        <a:blip xmlns:r="http://schemas.openxmlformats.org/officeDocument/2006/relationships" r:embed="rId4"/>
        <a:stretch>
          <a:fillRect/>
        </a:stretch>
      </xdr:blipFill>
      <xdr:spPr>
        <a:xfrm>
          <a:off x="7759149" y="1290464"/>
          <a:ext cx="1073426" cy="99060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18</xdr:col>
      <xdr:colOff>463827</xdr:colOff>
      <xdr:row>7</xdr:row>
      <xdr:rowOff>8327</xdr:rowOff>
    </xdr:from>
    <xdr:to>
      <xdr:col>20</xdr:col>
      <xdr:colOff>258418</xdr:colOff>
      <xdr:row>12</xdr:row>
      <xdr:rowOff>127408</xdr:rowOff>
    </xdr:to>
    <xdr:pic>
      <xdr:nvPicPr>
        <xdr:cNvPr id="32" name="Picture 31" descr="‪Customer Icon Png - Team Icon Font Awesome, Transparent Png - vhv‬‏">
          <a:extLst>
            <a:ext uri="{FF2B5EF4-FFF2-40B4-BE49-F238E27FC236}">
              <a16:creationId xmlns:a16="http://schemas.microsoft.com/office/drawing/2014/main" id="{C39E826F-3C43-B456-EE3F-FA08CD3E441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436627" y="1307040"/>
          <a:ext cx="1013791" cy="104673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13</xdr:row>
      <xdr:rowOff>139147</xdr:rowOff>
    </xdr:from>
    <xdr:to>
      <xdr:col>9</xdr:col>
      <xdr:colOff>46383</xdr:colOff>
      <xdr:row>29</xdr:row>
      <xdr:rowOff>26504</xdr:rowOff>
    </xdr:to>
    <xdr:graphicFrame macro="">
      <xdr:nvGraphicFramePr>
        <xdr:cNvPr id="33" name="Chart 32">
          <a:extLst>
            <a:ext uri="{FF2B5EF4-FFF2-40B4-BE49-F238E27FC236}">
              <a16:creationId xmlns:a16="http://schemas.microsoft.com/office/drawing/2014/main" id="{740F0377-FA21-4EBE-880C-5BA320C19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242109</xdr:colOff>
      <xdr:row>7</xdr:row>
      <xdr:rowOff>157320</xdr:rowOff>
    </xdr:from>
    <xdr:ext cx="469937" cy="718530"/>
    <xdr:sp macro="" textlink="">
      <xdr:nvSpPr>
        <xdr:cNvPr id="8" name="Rectangle 7">
          <a:extLst>
            <a:ext uri="{FF2B5EF4-FFF2-40B4-BE49-F238E27FC236}">
              <a16:creationId xmlns:a16="http://schemas.microsoft.com/office/drawing/2014/main" id="{AF6461FC-E63B-143D-67BA-0AA2AB99D125}"/>
            </a:ext>
          </a:extLst>
        </xdr:cNvPr>
        <xdr:cNvSpPr/>
      </xdr:nvSpPr>
      <xdr:spPr>
        <a:xfrm>
          <a:off x="2070909" y="1456033"/>
          <a:ext cx="469937" cy="718530"/>
        </a:xfrm>
        <a:prstGeom prst="rect">
          <a:avLst/>
        </a:prstGeom>
        <a:noFill/>
      </xdr:spPr>
      <xdr:txBody>
        <a:bodyPr wrap="none" lIns="91440" tIns="45720" rIns="91440" bIns="45720">
          <a:spAutoFit/>
        </a:bodyPr>
        <a:lstStyle/>
        <a:p>
          <a:pPr algn="ctr"/>
          <a:r>
            <a:rPr lang="ar-EG" sz="4000" b="1" cap="none" spc="0">
              <a:ln w="22225">
                <a:solidFill>
                  <a:schemeClr val="accent2"/>
                </a:solidFill>
                <a:prstDash val="solid"/>
              </a:ln>
              <a:solidFill>
                <a:schemeClr val="accent2">
                  <a:lumMod val="40000"/>
                  <a:lumOff val="60000"/>
                </a:schemeClr>
              </a:solidFill>
              <a:effectLst/>
            </a:rPr>
            <a:t>$</a:t>
          </a:r>
          <a:endParaRPr lang="en-US" sz="40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15</xdr:col>
      <xdr:colOff>189101</xdr:colOff>
      <xdr:row>7</xdr:row>
      <xdr:rowOff>177198</xdr:rowOff>
    </xdr:from>
    <xdr:ext cx="469937" cy="718530"/>
    <xdr:sp macro="" textlink="">
      <xdr:nvSpPr>
        <xdr:cNvPr id="10" name="Rectangle 9">
          <a:extLst>
            <a:ext uri="{FF2B5EF4-FFF2-40B4-BE49-F238E27FC236}">
              <a16:creationId xmlns:a16="http://schemas.microsoft.com/office/drawing/2014/main" id="{5307DE18-C4B3-B039-0388-5493DB32468E}"/>
            </a:ext>
          </a:extLst>
        </xdr:cNvPr>
        <xdr:cNvSpPr/>
      </xdr:nvSpPr>
      <xdr:spPr>
        <a:xfrm>
          <a:off x="9333101" y="1475911"/>
          <a:ext cx="469937" cy="718530"/>
        </a:xfrm>
        <a:prstGeom prst="rect">
          <a:avLst/>
        </a:prstGeom>
        <a:noFill/>
      </xdr:spPr>
      <xdr:txBody>
        <a:bodyPr wrap="none" lIns="91440" tIns="45720" rIns="91440" bIns="45720">
          <a:spAutoFit/>
        </a:bodyPr>
        <a:lstStyle/>
        <a:p>
          <a:pPr algn="ctr"/>
          <a:r>
            <a:rPr lang="ar-EG" sz="4000" b="1" cap="none" spc="0">
              <a:ln w="22225">
                <a:solidFill>
                  <a:schemeClr val="accent2"/>
                </a:solidFill>
                <a:prstDash val="solid"/>
              </a:ln>
              <a:solidFill>
                <a:schemeClr val="accent2">
                  <a:lumMod val="40000"/>
                  <a:lumOff val="60000"/>
                </a:schemeClr>
              </a:solidFill>
              <a:effectLst/>
            </a:rPr>
            <a:t>$</a:t>
          </a:r>
          <a:endParaRPr lang="en-US" sz="40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9</xdr:col>
      <xdr:colOff>235483</xdr:colOff>
      <xdr:row>8</xdr:row>
      <xdr:rowOff>4920</xdr:rowOff>
    </xdr:from>
    <xdr:ext cx="469937" cy="718530"/>
    <xdr:sp macro="" textlink="">
      <xdr:nvSpPr>
        <xdr:cNvPr id="11" name="Rectangle 10">
          <a:extLst>
            <a:ext uri="{FF2B5EF4-FFF2-40B4-BE49-F238E27FC236}">
              <a16:creationId xmlns:a16="http://schemas.microsoft.com/office/drawing/2014/main" id="{E3958D6F-FCB9-140F-1F29-B38DB22284CF}"/>
            </a:ext>
          </a:extLst>
        </xdr:cNvPr>
        <xdr:cNvSpPr/>
      </xdr:nvSpPr>
      <xdr:spPr>
        <a:xfrm>
          <a:off x="5721883" y="1489163"/>
          <a:ext cx="469937" cy="718530"/>
        </a:xfrm>
        <a:prstGeom prst="rect">
          <a:avLst/>
        </a:prstGeom>
        <a:noFill/>
      </xdr:spPr>
      <xdr:txBody>
        <a:bodyPr wrap="none" lIns="91440" tIns="45720" rIns="91440" bIns="45720">
          <a:spAutoFit/>
        </a:bodyPr>
        <a:lstStyle/>
        <a:p>
          <a:pPr algn="ctr"/>
          <a:r>
            <a:rPr lang="ar-EG" sz="4000" b="1" cap="none" spc="0">
              <a:ln w="22225">
                <a:solidFill>
                  <a:schemeClr val="accent2"/>
                </a:solidFill>
                <a:prstDash val="solid"/>
              </a:ln>
              <a:solidFill>
                <a:schemeClr val="accent2">
                  <a:lumMod val="40000"/>
                  <a:lumOff val="60000"/>
                </a:schemeClr>
              </a:solidFill>
              <a:effectLst/>
            </a:rPr>
            <a:t>$</a:t>
          </a:r>
          <a:endParaRPr lang="en-US" sz="40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3</xdr:col>
      <xdr:colOff>492199</xdr:colOff>
      <xdr:row>6</xdr:row>
      <xdr:rowOff>44675</xdr:rowOff>
    </xdr:from>
    <xdr:ext cx="1575140" cy="468013"/>
    <xdr:sp macro="" textlink="">
      <xdr:nvSpPr>
        <xdr:cNvPr id="12" name="Rectangle 11">
          <a:extLst>
            <a:ext uri="{FF2B5EF4-FFF2-40B4-BE49-F238E27FC236}">
              <a16:creationId xmlns:a16="http://schemas.microsoft.com/office/drawing/2014/main" id="{9EDC9BC8-ECAB-A493-5A78-948314F252DD}"/>
            </a:ext>
          </a:extLst>
        </xdr:cNvPr>
        <xdr:cNvSpPr/>
      </xdr:nvSpPr>
      <xdr:spPr>
        <a:xfrm>
          <a:off x="2320999" y="1157858"/>
          <a:ext cx="1575140" cy="468013"/>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Total</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Cost</a:t>
          </a:r>
        </a:p>
      </xdr:txBody>
    </xdr:sp>
    <xdr:clientData/>
  </xdr:oneCellAnchor>
  <xdr:oneCellAnchor>
    <xdr:from>
      <xdr:col>9</xdr:col>
      <xdr:colOff>318052</xdr:colOff>
      <xdr:row>6</xdr:row>
      <xdr:rowOff>13251</xdr:rowOff>
    </xdr:from>
    <xdr:ext cx="2098601" cy="468013"/>
    <xdr:sp macro="" textlink="">
      <xdr:nvSpPr>
        <xdr:cNvPr id="41" name="Rectangle 40">
          <a:extLst>
            <a:ext uri="{FF2B5EF4-FFF2-40B4-BE49-F238E27FC236}">
              <a16:creationId xmlns:a16="http://schemas.microsoft.com/office/drawing/2014/main" id="{A2E51767-91A6-4DAD-9B39-A725F36FB930}"/>
            </a:ext>
          </a:extLst>
        </xdr:cNvPr>
        <xdr:cNvSpPr/>
      </xdr:nvSpPr>
      <xdr:spPr>
        <a:xfrm>
          <a:off x="5804452" y="1126434"/>
          <a:ext cx="2098601" cy="468013"/>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Total</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Quantity</a:t>
          </a:r>
        </a:p>
      </xdr:txBody>
    </xdr:sp>
    <xdr:clientData/>
  </xdr:oneCellAnchor>
  <xdr:oneCellAnchor>
    <xdr:from>
      <xdr:col>15</xdr:col>
      <xdr:colOff>377687</xdr:colOff>
      <xdr:row>6</xdr:row>
      <xdr:rowOff>33130</xdr:rowOff>
    </xdr:from>
    <xdr:ext cx="1972705" cy="468013"/>
    <xdr:sp macro="" textlink="">
      <xdr:nvSpPr>
        <xdr:cNvPr id="42" name="Rectangle 41">
          <a:extLst>
            <a:ext uri="{FF2B5EF4-FFF2-40B4-BE49-F238E27FC236}">
              <a16:creationId xmlns:a16="http://schemas.microsoft.com/office/drawing/2014/main" id="{D00C6D62-CF97-4E61-A3A6-7840670EE3FC}"/>
            </a:ext>
          </a:extLst>
        </xdr:cNvPr>
        <xdr:cNvSpPr/>
      </xdr:nvSpPr>
      <xdr:spPr>
        <a:xfrm>
          <a:off x="9521687" y="1146313"/>
          <a:ext cx="1972705" cy="468013"/>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mn-lt"/>
              <a:ea typeface="+mn-ea"/>
              <a:cs typeface="+mn-cs"/>
            </a:rPr>
            <a:t>NO.Customer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refreshedDate="46058.762762962964" backgroundQuery="1" createdVersion="8" refreshedVersion="8" minRefreshableVersion="3" recordCount="84" xr:uid="{75AFCFC9-2BBA-4A3C-BC41-2C432ECA6383}">
  <cacheSource type="external" connectionId="1"/>
  <cacheFields count="10">
    <cacheField name="Sl No" numFmtId="0">
      <sharedItems containsSemiMixedTypes="0" containsString="0" containsNumber="1" containsInteger="1" minValue="1" maxValue="42"/>
    </cacheField>
    <cacheField name="Date" numFmtId="0">
      <sharedItems containsSemiMixedTypes="0" containsNonDate="0" containsDate="1" containsString="0" minDate="2025-09-16T00:00:00" maxDate="2026-07-11T00:00:00"/>
    </cacheField>
    <cacheField name="Customer" numFmtId="0">
      <sharedItems/>
    </cacheField>
    <cacheField name="Region" numFmtId="0">
      <sharedItems count="4">
        <s v="North"/>
        <s v="South"/>
        <s v="East"/>
        <s v="West"/>
      </sharedItems>
    </cacheField>
    <cacheField name="Item" numFmtId="0">
      <sharedItems count="27">
        <s v="Notebook"/>
        <s v="Charger"/>
        <s v="Backpack"/>
        <s v="Pen Set"/>
        <s v="Desk Lamp"/>
        <s v="Chair"/>
        <s v="USB Drive"/>
        <s v="Monitor"/>
        <s v="Keyboard"/>
        <s v="Mouse"/>
        <s v="Headset"/>
        <s v="Printer"/>
        <s v="Laptop Bag"/>
        <s v="Web Camera"/>
        <s v="External HDD"/>
        <s v="Graphics Card"/>
        <s v="Router"/>
        <s v="USB Hub"/>
        <s v="SSD Drive"/>
        <s v="Speaker Set"/>
        <s v="Power Bank"/>
        <s v="Projector"/>
        <s v="Memory Card"/>
        <s v="Smart Watch"/>
        <s v="E-Reader"/>
        <s v="Wireless Charger"/>
        <s v="Gaming Mouse Pad"/>
      </sharedItems>
    </cacheField>
    <cacheField name="Qty" numFmtId="0">
      <sharedItems containsSemiMixedTypes="0" containsString="0" containsNumber="1" containsInteger="1" minValue="3" maxValue="486"/>
    </cacheField>
    <cacheField name="Price" numFmtId="0">
      <sharedItems containsSemiMixedTypes="0" containsString="0" containsNumber="1" containsInteger="1" minValue="40" maxValue="9000" count="28">
        <n v="50"/>
        <n v="500"/>
        <n v="120"/>
        <n v="8000"/>
        <n v="600"/>
        <n v="152"/>
        <n v="6000"/>
        <n v="230"/>
        <n v="100"/>
        <n v="200"/>
        <n v="300"/>
        <n v="1200"/>
        <n v="150"/>
        <n v="350"/>
        <n v="4500"/>
        <n v="90"/>
        <n v="800"/>
        <n v="9000"/>
        <n v="400"/>
        <n v="75"/>
        <n v="1500"/>
        <n v="250"/>
        <n v="3000"/>
        <n v="40"/>
        <n v="700"/>
        <n v="950"/>
        <n v="180"/>
        <n v="60"/>
      </sharedItems>
    </cacheField>
    <cacheField name="Amount" numFmtId="0">
      <sharedItems containsSemiMixedTypes="0" containsString="0" containsNumber="1" containsInteger="1" minValue="1050" maxValue="336000"/>
    </cacheField>
    <cacheField name="Month" numFmtId="0">
      <sharedItems count="6">
        <s v="September"/>
        <s v="October"/>
        <s v="July"/>
        <s v="November"/>
        <s v="December"/>
        <s v="January"/>
      </sharedItems>
    </cacheField>
    <cacheField name="Year" numFmtId="0">
      <sharedItems containsSemiMixedTypes="0" containsString="0" containsNumber="1" containsInteger="1" minValue="2025" maxValue="2026" count="2">
        <n v="2025"/>
        <n v="2026"/>
      </sharedItems>
    </cacheField>
  </cacheFields>
  <extLst>
    <ext xmlns:x14="http://schemas.microsoft.com/office/spreadsheetml/2009/9/main" uri="{725AE2AE-9491-48be-B2B4-4EB974FC3084}">
      <x14:pivotCacheDefinition pivotCacheId="1175998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d v="2025-09-16T00:00:00"/>
    <s v="Emily Johnson"/>
    <x v="0"/>
    <x v="0"/>
    <n v="21"/>
    <x v="0"/>
    <n v="1050"/>
    <x v="0"/>
    <x v="0"/>
  </r>
  <r>
    <n v="2"/>
    <d v="2025-09-17T00:00:00"/>
    <s v="Olivia Brown"/>
    <x v="1"/>
    <x v="1"/>
    <n v="36"/>
    <x v="1"/>
    <n v="18000"/>
    <x v="0"/>
    <x v="0"/>
  </r>
  <r>
    <n v="3"/>
    <d v="2025-09-18T00:00:00"/>
    <s v="Ramesh Kumar"/>
    <x v="2"/>
    <x v="2"/>
    <n v="32"/>
    <x v="2"/>
    <n v="3840"/>
    <x v="0"/>
    <x v="0"/>
  </r>
  <r>
    <n v="4"/>
    <d v="2025-09-19T00:00:00"/>
    <s v="Maria Angelica"/>
    <x v="3"/>
    <x v="3"/>
    <n v="21"/>
    <x v="0"/>
    <n v="1050"/>
    <x v="0"/>
    <x v="0"/>
  </r>
  <r>
    <n v="5"/>
    <d v="2025-09-20T00:00:00"/>
    <s v="Mohammad Ali"/>
    <x v="0"/>
    <x v="4"/>
    <n v="23"/>
    <x v="3"/>
    <n v="184000"/>
    <x v="0"/>
    <x v="0"/>
  </r>
  <r>
    <n v="6"/>
    <d v="2025-09-21T00:00:00"/>
    <s v="Fatima Al Mak"/>
    <x v="1"/>
    <x v="5"/>
    <n v="10"/>
    <x v="4"/>
    <n v="6000"/>
    <x v="0"/>
    <x v="0"/>
  </r>
  <r>
    <n v="7"/>
    <d v="2025-09-22T00:00:00"/>
    <s v="Ethan Lee"/>
    <x v="3"/>
    <x v="4"/>
    <n v="25"/>
    <x v="5"/>
    <n v="3800"/>
    <x v="0"/>
    <x v="0"/>
  </r>
  <r>
    <n v="8"/>
    <d v="2025-09-23T00:00:00"/>
    <s v="Ava Jenkins"/>
    <x v="2"/>
    <x v="6"/>
    <n v="63"/>
    <x v="1"/>
    <n v="31500"/>
    <x v="0"/>
    <x v="0"/>
  </r>
  <r>
    <n v="9"/>
    <d v="2025-09-24T00:00:00"/>
    <s v="Lukas Müller"/>
    <x v="0"/>
    <x v="0"/>
    <n v="45"/>
    <x v="1"/>
    <n v="22500"/>
    <x v="0"/>
    <x v="0"/>
  </r>
  <r>
    <n v="10"/>
    <d v="2025-09-25T00:00:00"/>
    <s v="Yui Nakamura"/>
    <x v="1"/>
    <x v="1"/>
    <n v="56"/>
    <x v="6"/>
    <n v="336000"/>
    <x v="0"/>
    <x v="0"/>
  </r>
  <r>
    <n v="11"/>
    <d v="2025-09-26T00:00:00"/>
    <s v="Maria Angelica"/>
    <x v="0"/>
    <x v="2"/>
    <n v="21"/>
    <x v="2"/>
    <n v="2520"/>
    <x v="0"/>
    <x v="0"/>
  </r>
  <r>
    <n v="12"/>
    <d v="2025-09-27T00:00:00"/>
    <s v="Mohammad Ali"/>
    <x v="1"/>
    <x v="3"/>
    <n v="36"/>
    <x v="7"/>
    <n v="8280"/>
    <x v="0"/>
    <x v="0"/>
  </r>
  <r>
    <n v="13"/>
    <d v="2025-09-28T00:00:00"/>
    <s v="Fatima Al Mak"/>
    <x v="2"/>
    <x v="4"/>
    <n v="32"/>
    <x v="4"/>
    <n v="19200"/>
    <x v="0"/>
    <x v="0"/>
  </r>
  <r>
    <n v="14"/>
    <d v="2025-09-29T00:00:00"/>
    <s v="Ethan Lee"/>
    <x v="2"/>
    <x v="5"/>
    <n v="21"/>
    <x v="8"/>
    <n v="2100"/>
    <x v="0"/>
    <x v="0"/>
  </r>
  <r>
    <n v="15"/>
    <d v="2025-09-30T00:00:00"/>
    <s v="Ava Jenkins"/>
    <x v="3"/>
    <x v="4"/>
    <n v="23"/>
    <x v="9"/>
    <n v="4600"/>
    <x v="0"/>
    <x v="0"/>
  </r>
  <r>
    <n v="16"/>
    <d v="2025-10-06T00:00:00"/>
    <s v="Olivia Brown"/>
    <x v="0"/>
    <x v="6"/>
    <n v="21"/>
    <x v="10"/>
    <n v="6300"/>
    <x v="1"/>
    <x v="0"/>
  </r>
  <r>
    <n v="17"/>
    <d v="2025-10-07T00:00:00"/>
    <s v="Ramesh Kumar"/>
    <x v="1"/>
    <x v="0"/>
    <n v="32"/>
    <x v="0"/>
    <n v="1600"/>
    <x v="1"/>
    <x v="0"/>
  </r>
  <r>
    <n v="18"/>
    <d v="2025-10-08T00:00:00"/>
    <s v="Maria Angelica"/>
    <x v="2"/>
    <x v="1"/>
    <n v="56"/>
    <x v="1"/>
    <n v="28000"/>
    <x v="1"/>
    <x v="0"/>
  </r>
  <r>
    <n v="19"/>
    <d v="2025-10-09T00:00:00"/>
    <s v="Mohammad Ali"/>
    <x v="3"/>
    <x v="2"/>
    <n v="25"/>
    <x v="2"/>
    <n v="3000"/>
    <x v="1"/>
    <x v="0"/>
  </r>
  <r>
    <n v="20"/>
    <d v="2025-10-10T00:00:00"/>
    <s v="Fatima Al Mak"/>
    <x v="0"/>
    <x v="3"/>
    <n v="63"/>
    <x v="0"/>
    <n v="3150"/>
    <x v="1"/>
    <x v="0"/>
  </r>
  <r>
    <n v="21"/>
    <d v="2026-07-09T00:00:00"/>
    <s v="Lukas Müller"/>
    <x v="3"/>
    <x v="4"/>
    <n v="25"/>
    <x v="5"/>
    <n v="3800"/>
    <x v="2"/>
    <x v="1"/>
  </r>
  <r>
    <n v="22"/>
    <d v="2026-07-10T00:00:00"/>
    <s v="Yui Nakamura"/>
    <x v="2"/>
    <x v="6"/>
    <n v="63"/>
    <x v="1"/>
    <n v="31500"/>
    <x v="2"/>
    <x v="1"/>
  </r>
  <r>
    <n v="23"/>
    <d v="2025-11-01T00:00:00"/>
    <s v="Alex Naser"/>
    <x v="3"/>
    <x v="7"/>
    <n v="15"/>
    <x v="11"/>
    <n v="18000"/>
    <x v="3"/>
    <x v="0"/>
  </r>
  <r>
    <n v="24"/>
    <d v="2025-11-02T00:00:00"/>
    <s v="Layla Hassan"/>
    <x v="0"/>
    <x v="8"/>
    <n v="40"/>
    <x v="12"/>
    <n v="6000"/>
    <x v="3"/>
    <x v="0"/>
  </r>
  <r>
    <n v="25"/>
    <d v="2025-11-03T00:00:00"/>
    <s v="Faisal Ali"/>
    <x v="2"/>
    <x v="9"/>
    <n v="75"/>
    <x v="0"/>
    <n v="3750"/>
    <x v="3"/>
    <x v="0"/>
  </r>
  <r>
    <n v="26"/>
    <d v="2025-11-04T00:00:00"/>
    <s v="Dana Rimawi"/>
    <x v="1"/>
    <x v="10"/>
    <n v="28"/>
    <x v="13"/>
    <n v="9800"/>
    <x v="3"/>
    <x v="0"/>
  </r>
  <r>
    <n v="27"/>
    <d v="2025-11-05T00:00:00"/>
    <s v="Abdullah Alshamri"/>
    <x v="3"/>
    <x v="11"/>
    <n v="5"/>
    <x v="14"/>
    <n v="22500"/>
    <x v="3"/>
    <x v="0"/>
  </r>
  <r>
    <n v="28"/>
    <d v="2025-11-06T00:00:00"/>
    <s v="Reem Khalid"/>
    <x v="0"/>
    <x v="12"/>
    <n v="60"/>
    <x v="15"/>
    <n v="5400"/>
    <x v="3"/>
    <x v="0"/>
  </r>
  <r>
    <n v="29"/>
    <d v="2025-11-07T00:00:00"/>
    <s v="Tareq Sayed"/>
    <x v="2"/>
    <x v="13"/>
    <n v="18"/>
    <x v="9"/>
    <n v="3600"/>
    <x v="3"/>
    <x v="0"/>
  </r>
  <r>
    <n v="30"/>
    <d v="2025-11-08T00:00:00"/>
    <s v="Maha Fares"/>
    <x v="1"/>
    <x v="14"/>
    <n v="12"/>
    <x v="16"/>
    <n v="9600"/>
    <x v="3"/>
    <x v="0"/>
  </r>
  <r>
    <n v="31"/>
    <d v="2025-11-09T00:00:00"/>
    <s v="Walid Saleh"/>
    <x v="3"/>
    <x v="15"/>
    <n v="3"/>
    <x v="17"/>
    <n v="27000"/>
    <x v="3"/>
    <x v="0"/>
  </r>
  <r>
    <n v="32"/>
    <d v="2025-11-10T00:00:00"/>
    <s v="Nouf Alabdullah"/>
    <x v="0"/>
    <x v="16"/>
    <n v="35"/>
    <x v="18"/>
    <n v="14000"/>
    <x v="3"/>
    <x v="0"/>
  </r>
  <r>
    <n v="33"/>
    <d v="2025-11-11T00:00:00"/>
    <s v="Yasser Ibrahim"/>
    <x v="2"/>
    <x v="17"/>
    <n v="50"/>
    <x v="19"/>
    <n v="3750"/>
    <x v="3"/>
    <x v="0"/>
  </r>
  <r>
    <n v="34"/>
    <d v="2025-11-12T00:00:00"/>
    <s v="Amal Majed"/>
    <x v="1"/>
    <x v="18"/>
    <n v="9"/>
    <x v="20"/>
    <n v="13500"/>
    <x v="3"/>
    <x v="0"/>
  </r>
  <r>
    <n v="35"/>
    <d v="2025-11-13T00:00:00"/>
    <s v="Sami Rashid"/>
    <x v="3"/>
    <x v="19"/>
    <n v="22"/>
    <x v="21"/>
    <n v="5500"/>
    <x v="3"/>
    <x v="0"/>
  </r>
  <r>
    <n v="36"/>
    <d v="2025-11-14T00:00:00"/>
    <s v="Jud Fahad"/>
    <x v="0"/>
    <x v="20"/>
    <n v="80"/>
    <x v="2"/>
    <n v="9600"/>
    <x v="3"/>
    <x v="0"/>
  </r>
  <r>
    <n v="37"/>
    <d v="2025-11-15T00:00:00"/>
    <s v="Adel Hussein"/>
    <x v="2"/>
    <x v="21"/>
    <n v="4"/>
    <x v="22"/>
    <n v="12000"/>
    <x v="3"/>
    <x v="0"/>
  </r>
  <r>
    <n v="38"/>
    <d v="2025-11-16T00:00:00"/>
    <s v="Samar Nabil"/>
    <x v="1"/>
    <x v="22"/>
    <n v="95"/>
    <x v="23"/>
    <n v="3800"/>
    <x v="3"/>
    <x v="0"/>
  </r>
  <r>
    <n v="39"/>
    <d v="2025-11-17T00:00:00"/>
    <s v="Bader Mansour"/>
    <x v="3"/>
    <x v="23"/>
    <n v="10"/>
    <x v="24"/>
    <n v="7000"/>
    <x v="3"/>
    <x v="0"/>
  </r>
  <r>
    <n v="40"/>
    <d v="2025-11-18T00:00:00"/>
    <s v="Huda Ghanem"/>
    <x v="0"/>
    <x v="24"/>
    <n v="7"/>
    <x v="25"/>
    <n v="6650"/>
    <x v="3"/>
    <x v="0"/>
  </r>
  <r>
    <n v="41"/>
    <d v="2025-11-19T00:00:00"/>
    <s v="Majed Turki"/>
    <x v="2"/>
    <x v="25"/>
    <n v="30"/>
    <x v="26"/>
    <n v="5400"/>
    <x v="3"/>
    <x v="0"/>
  </r>
  <r>
    <n v="42"/>
    <d v="2025-11-20T00:00:00"/>
    <s v="Fadia Saad"/>
    <x v="1"/>
    <x v="26"/>
    <n v="55"/>
    <x v="27"/>
    <n v="3300"/>
    <x v="3"/>
    <x v="0"/>
  </r>
  <r>
    <n v="1"/>
    <d v="2025-11-21T00:00:00"/>
    <s v="لmily Johnson"/>
    <x v="0"/>
    <x v="0"/>
    <n v="80"/>
    <x v="0"/>
    <n v="1050"/>
    <x v="3"/>
    <x v="0"/>
  </r>
  <r>
    <n v="2"/>
    <d v="2025-11-22T00:00:00"/>
    <s v=" Brown"/>
    <x v="1"/>
    <x v="1"/>
    <n v="105"/>
    <x v="1"/>
    <n v="18000"/>
    <x v="3"/>
    <x v="0"/>
  </r>
  <r>
    <n v="3"/>
    <d v="2025-11-23T00:00:00"/>
    <s v="Ramesh "/>
    <x v="2"/>
    <x v="2"/>
    <n v="130"/>
    <x v="2"/>
    <n v="3840"/>
    <x v="3"/>
    <x v="0"/>
  </r>
  <r>
    <n v="4"/>
    <d v="2025-11-24T00:00:00"/>
    <s v=" Angelica"/>
    <x v="3"/>
    <x v="3"/>
    <n v="155"/>
    <x v="0"/>
    <n v="1050"/>
    <x v="3"/>
    <x v="0"/>
  </r>
  <r>
    <n v="5"/>
    <d v="2025-11-25T00:00:00"/>
    <s v=" Ali"/>
    <x v="0"/>
    <x v="4"/>
    <n v="180"/>
    <x v="3"/>
    <n v="184000"/>
    <x v="3"/>
    <x v="0"/>
  </r>
  <r>
    <n v="6"/>
    <d v="2025-11-26T00:00:00"/>
    <s v=" Al Mak"/>
    <x v="1"/>
    <x v="5"/>
    <n v="205"/>
    <x v="4"/>
    <n v="6000"/>
    <x v="3"/>
    <x v="0"/>
  </r>
  <r>
    <n v="7"/>
    <d v="2025-11-27T00:00:00"/>
    <s v="Ethan "/>
    <x v="3"/>
    <x v="4"/>
    <n v="230"/>
    <x v="5"/>
    <n v="3800"/>
    <x v="3"/>
    <x v="0"/>
  </r>
  <r>
    <n v="8"/>
    <d v="2025-11-28T00:00:00"/>
    <s v="Ava "/>
    <x v="2"/>
    <x v="6"/>
    <n v="255"/>
    <x v="1"/>
    <n v="31500"/>
    <x v="3"/>
    <x v="0"/>
  </r>
  <r>
    <n v="9"/>
    <d v="2025-11-29T00:00:00"/>
    <s v="Lukas Müller"/>
    <x v="0"/>
    <x v="0"/>
    <n v="280"/>
    <x v="1"/>
    <n v="22500"/>
    <x v="3"/>
    <x v="0"/>
  </r>
  <r>
    <n v="10"/>
    <d v="2025-11-30T00:00:00"/>
    <s v="Yui Nakamura"/>
    <x v="1"/>
    <x v="1"/>
    <n v="56"/>
    <x v="6"/>
    <n v="336000"/>
    <x v="3"/>
    <x v="0"/>
  </r>
  <r>
    <n v="11"/>
    <d v="2025-12-01T00:00:00"/>
    <s v="Maria Angelica"/>
    <x v="0"/>
    <x v="2"/>
    <n v="21"/>
    <x v="2"/>
    <n v="2520"/>
    <x v="4"/>
    <x v="0"/>
  </r>
  <r>
    <n v="12"/>
    <d v="2025-12-02T00:00:00"/>
    <s v="Mohammad Ali"/>
    <x v="1"/>
    <x v="3"/>
    <n v="36"/>
    <x v="7"/>
    <n v="8280"/>
    <x v="4"/>
    <x v="0"/>
  </r>
  <r>
    <n v="13"/>
    <d v="2025-12-03T00:00:00"/>
    <s v="Fatima Al Mak"/>
    <x v="2"/>
    <x v="4"/>
    <n v="51"/>
    <x v="4"/>
    <n v="19200"/>
    <x v="4"/>
    <x v="0"/>
  </r>
  <r>
    <n v="14"/>
    <d v="2025-12-04T00:00:00"/>
    <s v="Ethan Lee"/>
    <x v="2"/>
    <x v="5"/>
    <n v="66"/>
    <x v="8"/>
    <n v="2100"/>
    <x v="4"/>
    <x v="0"/>
  </r>
  <r>
    <n v="15"/>
    <d v="2025-12-05T00:00:00"/>
    <s v="Ava Jenkins"/>
    <x v="3"/>
    <x v="4"/>
    <n v="81"/>
    <x v="9"/>
    <n v="4600"/>
    <x v="4"/>
    <x v="0"/>
  </r>
  <r>
    <n v="16"/>
    <d v="2025-12-06T00:00:00"/>
    <s v="Olivia Brown"/>
    <x v="0"/>
    <x v="6"/>
    <n v="96"/>
    <x v="10"/>
    <n v="6300"/>
    <x v="4"/>
    <x v="0"/>
  </r>
  <r>
    <n v="17"/>
    <d v="2025-12-07T00:00:00"/>
    <s v="Ramesh Kumar"/>
    <x v="1"/>
    <x v="0"/>
    <n v="111"/>
    <x v="0"/>
    <n v="1600"/>
    <x v="4"/>
    <x v="0"/>
  </r>
  <r>
    <n v="18"/>
    <d v="2025-12-08T00:00:00"/>
    <s v="Maria Angelica"/>
    <x v="2"/>
    <x v="1"/>
    <n v="126"/>
    <x v="1"/>
    <n v="28000"/>
    <x v="4"/>
    <x v="0"/>
  </r>
  <r>
    <n v="19"/>
    <d v="2025-12-09T00:00:00"/>
    <s v="Mohammad Ali"/>
    <x v="3"/>
    <x v="2"/>
    <n v="141"/>
    <x v="2"/>
    <n v="3000"/>
    <x v="4"/>
    <x v="0"/>
  </r>
  <r>
    <n v="20"/>
    <d v="2025-12-10T00:00:00"/>
    <s v="Fatima Al Mak"/>
    <x v="0"/>
    <x v="3"/>
    <n v="156"/>
    <x v="0"/>
    <n v="3150"/>
    <x v="4"/>
    <x v="0"/>
  </r>
  <r>
    <n v="21"/>
    <d v="2025-12-11T00:00:00"/>
    <s v="Lukas Müller"/>
    <x v="3"/>
    <x v="4"/>
    <n v="171"/>
    <x v="5"/>
    <n v="3800"/>
    <x v="4"/>
    <x v="0"/>
  </r>
  <r>
    <n v="22"/>
    <d v="2025-12-12T00:00:00"/>
    <s v="Yui Nakamura"/>
    <x v="2"/>
    <x v="6"/>
    <n v="186"/>
    <x v="1"/>
    <n v="31500"/>
    <x v="4"/>
    <x v="0"/>
  </r>
  <r>
    <n v="23"/>
    <d v="2025-12-13T00:00:00"/>
    <s v="Alex Naser"/>
    <x v="3"/>
    <x v="7"/>
    <n v="201"/>
    <x v="11"/>
    <n v="18000"/>
    <x v="4"/>
    <x v="0"/>
  </r>
  <r>
    <n v="24"/>
    <d v="2025-12-14T00:00:00"/>
    <s v="Layla Hassan"/>
    <x v="0"/>
    <x v="8"/>
    <n v="216"/>
    <x v="12"/>
    <n v="6000"/>
    <x v="4"/>
    <x v="0"/>
  </r>
  <r>
    <n v="25"/>
    <d v="2025-12-15T00:00:00"/>
    <s v="Faisal Ali"/>
    <x v="2"/>
    <x v="9"/>
    <n v="231"/>
    <x v="0"/>
    <n v="3750"/>
    <x v="4"/>
    <x v="0"/>
  </r>
  <r>
    <n v="26"/>
    <d v="2025-12-16T00:00:00"/>
    <s v="Dana Rimawi"/>
    <x v="1"/>
    <x v="10"/>
    <n v="246"/>
    <x v="13"/>
    <n v="9800"/>
    <x v="4"/>
    <x v="0"/>
  </r>
  <r>
    <n v="27"/>
    <d v="2025-12-17T00:00:00"/>
    <s v="Abdullah Alshamri"/>
    <x v="3"/>
    <x v="11"/>
    <n v="261"/>
    <x v="14"/>
    <n v="22500"/>
    <x v="4"/>
    <x v="0"/>
  </r>
  <r>
    <n v="28"/>
    <d v="2025-12-18T00:00:00"/>
    <s v=" Khalid"/>
    <x v="0"/>
    <x v="12"/>
    <n v="276"/>
    <x v="15"/>
    <n v="5400"/>
    <x v="4"/>
    <x v="0"/>
  </r>
  <r>
    <n v="29"/>
    <d v="2025-12-19T00:00:00"/>
    <s v="Tareq "/>
    <x v="2"/>
    <x v="13"/>
    <n v="291"/>
    <x v="9"/>
    <n v="3600"/>
    <x v="4"/>
    <x v="0"/>
  </r>
  <r>
    <n v="30"/>
    <d v="2025-12-20T00:00:00"/>
    <s v=" Fares"/>
    <x v="1"/>
    <x v="14"/>
    <n v="306"/>
    <x v="16"/>
    <n v="9600"/>
    <x v="4"/>
    <x v="0"/>
  </r>
  <r>
    <n v="31"/>
    <d v="2025-12-21T00:00:00"/>
    <s v="Walid "/>
    <x v="3"/>
    <x v="15"/>
    <n v="321"/>
    <x v="17"/>
    <n v="27000"/>
    <x v="4"/>
    <x v="0"/>
  </r>
  <r>
    <n v="32"/>
    <d v="2025-12-22T00:00:00"/>
    <s v="Nouf Alabdullah"/>
    <x v="0"/>
    <x v="16"/>
    <n v="336"/>
    <x v="18"/>
    <n v="14000"/>
    <x v="4"/>
    <x v="0"/>
  </r>
  <r>
    <n v="33"/>
    <d v="2025-12-23T00:00:00"/>
    <s v="Yasser Ibrahim"/>
    <x v="2"/>
    <x v="17"/>
    <n v="351"/>
    <x v="19"/>
    <n v="3750"/>
    <x v="4"/>
    <x v="0"/>
  </r>
  <r>
    <n v="34"/>
    <d v="2025-12-24T00:00:00"/>
    <s v="Amal "/>
    <x v="1"/>
    <x v="18"/>
    <n v="366"/>
    <x v="20"/>
    <n v="13500"/>
    <x v="4"/>
    <x v="0"/>
  </r>
  <r>
    <n v="35"/>
    <d v="2025-12-25T00:00:00"/>
    <s v=" Rashid"/>
    <x v="3"/>
    <x v="19"/>
    <n v="381"/>
    <x v="21"/>
    <n v="5500"/>
    <x v="4"/>
    <x v="0"/>
  </r>
  <r>
    <n v="36"/>
    <d v="2025-12-26T00:00:00"/>
    <s v="Jud Fahad"/>
    <x v="0"/>
    <x v="20"/>
    <n v="396"/>
    <x v="2"/>
    <n v="9600"/>
    <x v="4"/>
    <x v="0"/>
  </r>
  <r>
    <n v="37"/>
    <d v="2025-12-27T00:00:00"/>
    <s v=" Hussein"/>
    <x v="2"/>
    <x v="21"/>
    <n v="411"/>
    <x v="22"/>
    <n v="12000"/>
    <x v="4"/>
    <x v="0"/>
  </r>
  <r>
    <n v="38"/>
    <d v="2025-12-28T00:00:00"/>
    <s v="Samar Nabil"/>
    <x v="1"/>
    <x v="22"/>
    <n v="426"/>
    <x v="23"/>
    <n v="3800"/>
    <x v="4"/>
    <x v="0"/>
  </r>
  <r>
    <n v="39"/>
    <d v="2025-12-29T00:00:00"/>
    <s v="Bader Mansour"/>
    <x v="3"/>
    <x v="23"/>
    <n v="441"/>
    <x v="24"/>
    <n v="7000"/>
    <x v="4"/>
    <x v="0"/>
  </r>
  <r>
    <n v="40"/>
    <d v="2025-12-30T00:00:00"/>
    <s v=" Ghanem"/>
    <x v="0"/>
    <x v="24"/>
    <n v="456"/>
    <x v="25"/>
    <n v="6650"/>
    <x v="4"/>
    <x v="0"/>
  </r>
  <r>
    <n v="41"/>
    <d v="2025-12-31T00:00:00"/>
    <s v="Majed "/>
    <x v="2"/>
    <x v="25"/>
    <n v="471"/>
    <x v="26"/>
    <n v="5400"/>
    <x v="4"/>
    <x v="0"/>
  </r>
  <r>
    <n v="42"/>
    <d v="2026-01-01T00:00:00"/>
    <s v="Fadia "/>
    <x v="1"/>
    <x v="26"/>
    <n v="486"/>
    <x v="27"/>
    <n v="330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5A3A1-DD99-400A-99C0-44DB30A3EB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H26:H27" firstHeaderRow="1" firstDataRow="1" firstDataCol="0"/>
  <pivotFields count="10">
    <pivotField showAll="0"/>
    <pivotField showAll="0"/>
    <pivotField showAll="0"/>
    <pivotField showAll="0">
      <items count="5">
        <item x="2"/>
        <item x="0"/>
        <item x="1"/>
        <item x="3"/>
        <item t="default"/>
      </items>
    </pivotField>
    <pivotField showAll="0"/>
    <pivotField dataField="1" showAll="0"/>
    <pivotField showAll="0"/>
    <pivotField showAll="0"/>
    <pivotField showAll="0">
      <items count="7">
        <item x="5"/>
        <item x="2"/>
        <item x="0"/>
        <item x="1"/>
        <item x="3"/>
        <item x="4"/>
        <item t="default"/>
      </items>
    </pivotField>
    <pivotField showAll="0">
      <items count="3">
        <item x="0"/>
        <item x="1"/>
        <item t="default"/>
      </items>
    </pivotField>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0F02-707E-49BA-A561-9E1D2724B1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8:D9" firstHeaderRow="1" firstDataRow="1" firstDataCol="0"/>
  <pivotFields count="10">
    <pivotField showAll="0"/>
    <pivotField showAll="0"/>
    <pivotField showAll="0"/>
    <pivotField showAll="0">
      <items count="5">
        <item x="2"/>
        <item x="0"/>
        <item x="1"/>
        <item x="3"/>
        <item t="default"/>
      </items>
    </pivotField>
    <pivotField showAll="0"/>
    <pivotField showAll="0"/>
    <pivotField showAll="0"/>
    <pivotField dataField="1" showAll="0"/>
    <pivotField showAll="0">
      <items count="7">
        <item x="5"/>
        <item x="2"/>
        <item x="0"/>
        <item x="1"/>
        <item x="3"/>
        <item x="4"/>
        <item t="default"/>
      </items>
    </pivotField>
    <pivotField showAll="0">
      <items count="3">
        <item x="0"/>
        <item x="1"/>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F1E92-D34A-4B69-AA2B-699E025DC5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fieldListSortAscending="1">
  <location ref="A1:B6" firstHeaderRow="1" firstDataRow="1" firstDataCol="1"/>
  <pivotFields count="10">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items count="7">
        <item x="5"/>
        <item x="2"/>
        <item x="0"/>
        <item x="1"/>
        <item x="3"/>
        <item x="4"/>
        <item t="default"/>
      </items>
    </pivotField>
    <pivotField showAll="0">
      <items count="3">
        <item x="0"/>
        <item x="1"/>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3">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3" count="1" selected="0">
            <x v="0"/>
          </reference>
        </references>
      </pivotArea>
    </chartFormat>
    <chartFormat chart="20" format="3">
      <pivotArea type="data" outline="0" fieldPosition="0">
        <references count="2">
          <reference field="4294967294" count="1" selected="0">
            <x v="0"/>
          </reference>
          <reference field="3" count="1" selected="0">
            <x v="2"/>
          </reference>
        </references>
      </pivotArea>
    </chartFormat>
    <chartFormat chart="20" format="4">
      <pivotArea type="data" outline="0" fieldPosition="0">
        <references count="2">
          <reference field="4294967294" count="1" selected="0">
            <x v="0"/>
          </reference>
          <reference field="3" count="1" selected="0">
            <x v="3"/>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0"/>
          </reference>
        </references>
      </pivotArea>
    </chartFormat>
    <chartFormat chart="21" format="7">
      <pivotArea type="data" outline="0" fieldPosition="0">
        <references count="2">
          <reference field="4294967294" count="1" selected="0">
            <x v="0"/>
          </reference>
          <reference field="3" count="1" selected="0">
            <x v="2"/>
          </reference>
        </references>
      </pivotArea>
    </chartFormat>
    <chartFormat chart="21" format="8">
      <pivotArea type="data" outline="0" fieldPosition="0">
        <references count="2">
          <reference field="4294967294" count="1" selected="0">
            <x v="0"/>
          </reference>
          <reference field="3" count="1" selected="0">
            <x v="3"/>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2"/>
          </reference>
        </references>
      </pivotArea>
    </chartFormat>
    <chartFormat chart="22" format="8">
      <pivotArea type="data" outline="0" fieldPosition="0">
        <references count="2">
          <reference field="4294967294" count="1" selected="0">
            <x v="0"/>
          </reference>
          <reference field="3" count="1" selected="0">
            <x v="3"/>
          </reference>
        </references>
      </pivotArea>
    </chartFormat>
    <chartFormat chart="22"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D2A81-8C51-4E8F-81E3-FF2D95E1B4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15:G22" firstHeaderRow="1" firstDataRow="1" firstDataCol="1"/>
  <pivotFields count="10">
    <pivotField showAll="0"/>
    <pivotField showAll="0"/>
    <pivotField showAll="0"/>
    <pivotField showAll="0">
      <items count="5">
        <item x="2"/>
        <item x="0"/>
        <item x="1"/>
        <item x="3"/>
        <item t="default"/>
      </items>
    </pivotField>
    <pivotField showAll="0"/>
    <pivotField showAll="0"/>
    <pivotField showAll="0"/>
    <pivotField dataField="1" showAll="0"/>
    <pivotField axis="axisRow" showAll="0">
      <items count="7">
        <item x="5"/>
        <item x="2"/>
        <item x="0"/>
        <item x="1"/>
        <item x="3"/>
        <item x="4"/>
        <item t="default"/>
      </items>
    </pivotField>
    <pivotField showAll="0">
      <items count="3">
        <item x="0"/>
        <item x="1"/>
        <item t="default"/>
      </items>
    </pivotField>
  </pivotFields>
  <rowFields count="1">
    <field x="8"/>
  </rowFields>
  <rowItems count="7">
    <i>
      <x/>
    </i>
    <i>
      <x v="1"/>
    </i>
    <i>
      <x v="2"/>
    </i>
    <i>
      <x v="3"/>
    </i>
    <i>
      <x v="4"/>
    </i>
    <i>
      <x v="5"/>
    </i>
    <i t="grand">
      <x/>
    </i>
  </rowItems>
  <colItems count="1">
    <i/>
  </colItems>
  <dataFields count="1">
    <dataField name="Sum of Amount" fld="7"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5"/>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3" format="6">
      <pivotArea type="data" outline="0" fieldPosition="0">
        <references count="2">
          <reference field="4294967294" count="1" selected="0">
            <x v="0"/>
          </reference>
          <reference field="8" count="1" selected="0">
            <x v="2"/>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740629-0839-49D5-9C0E-683F8C81DD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4:C42" firstHeaderRow="1" firstDataRow="1" firstDataCol="1"/>
  <pivotFields count="10">
    <pivotField showAll="0"/>
    <pivotField showAll="0"/>
    <pivotField showAll="0"/>
    <pivotField showAll="0">
      <items count="5">
        <item x="2"/>
        <item x="0"/>
        <item x="1"/>
        <item x="3"/>
        <item t="default"/>
      </items>
    </pivotField>
    <pivotField axis="axisRow" showAll="0">
      <items count="28">
        <item x="2"/>
        <item x="5"/>
        <item x="1"/>
        <item x="4"/>
        <item x="24"/>
        <item x="14"/>
        <item x="26"/>
        <item x="15"/>
        <item x="10"/>
        <item x="8"/>
        <item x="12"/>
        <item x="22"/>
        <item x="7"/>
        <item x="9"/>
        <item x="0"/>
        <item x="3"/>
        <item x="20"/>
        <item x="11"/>
        <item x="21"/>
        <item x="16"/>
        <item x="23"/>
        <item x="19"/>
        <item x="18"/>
        <item x="6"/>
        <item x="17"/>
        <item x="13"/>
        <item x="25"/>
        <item t="default"/>
      </items>
    </pivotField>
    <pivotField showAll="0"/>
    <pivotField showAll="0"/>
    <pivotField dataField="1" showAll="0"/>
    <pivotField showAll="0">
      <items count="7">
        <item x="5"/>
        <item x="2"/>
        <item x="0"/>
        <item x="1"/>
        <item x="3"/>
        <item x="4"/>
        <item t="default"/>
      </items>
    </pivotField>
    <pivotField showAll="0">
      <items count="3">
        <item x="0"/>
        <item x="1"/>
        <item t="default"/>
      </items>
    </pivotField>
  </pivotFields>
  <rowFields count="1">
    <field x="4"/>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717401-4354-4438-99BF-119BA18A8B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3:C4" firstHeaderRow="1" firstDataRow="1" firstDataCol="0"/>
  <pivotFields count="10">
    <pivotField showAll="0"/>
    <pivotField showAll="0"/>
    <pivotField showAll="0"/>
    <pivotField showAll="0">
      <items count="5">
        <item x="2"/>
        <item x="0"/>
        <item x="1"/>
        <item x="3"/>
        <item t="default"/>
      </items>
    </pivotField>
    <pivotField showAll="0"/>
    <pivotField showAll="0"/>
    <pivotField showAll="0"/>
    <pivotField dataField="1" showAll="0"/>
    <pivotField showAll="0">
      <items count="7">
        <item x="5"/>
        <item x="2"/>
        <item x="0"/>
        <item x="1"/>
        <item x="3"/>
        <item x="4"/>
        <item t="default"/>
      </items>
    </pivotField>
    <pivotField showAll="0">
      <items count="3">
        <item x="0"/>
        <item x="1"/>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AAC32-C94E-48D1-B121-D5D2F98FF1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B9:C12" firstHeaderRow="1" firstDataRow="1" firstDataCol="1"/>
  <pivotFields count="10">
    <pivotField showAll="0"/>
    <pivotField showAll="0"/>
    <pivotField showAll="0"/>
    <pivotField showAll="0">
      <items count="5">
        <item x="2"/>
        <item x="0"/>
        <item x="1"/>
        <item x="3"/>
        <item t="default"/>
      </items>
    </pivotField>
    <pivotField showAll="0"/>
    <pivotField showAll="0"/>
    <pivotField showAll="0"/>
    <pivotField dataField="1" showAll="0"/>
    <pivotField showAll="0">
      <items count="7">
        <item x="5"/>
        <item x="2"/>
        <item x="0"/>
        <item x="1"/>
        <item x="3"/>
        <item x="4"/>
        <item t="default"/>
      </items>
    </pivotField>
    <pivotField axis="axisRow" showAll="0">
      <items count="3">
        <item x="0"/>
        <item x="1"/>
        <item t="default"/>
      </items>
    </pivotField>
  </pivotFields>
  <rowFields count="1">
    <field x="9"/>
  </rowFields>
  <rowItems count="3">
    <i>
      <x/>
    </i>
    <i>
      <x v="1"/>
    </i>
    <i t="grand">
      <x/>
    </i>
  </rowItems>
  <colItems count="1">
    <i/>
  </colItems>
  <dataFields count="1">
    <dataField name="Sum of Amoun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E1EBAD-316A-473D-B4DE-70646A7A8CCE}" sourceName="Region">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117599809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6AB7B6-7738-47AE-A915-1AEAE9C628B7}" sourceName="Year">
  <pivotTables>
    <pivotTable tabId="2" name="PivotTable2"/>
    <pivotTable tabId="2" name="PivotTable1"/>
    <pivotTable tabId="2" name="PivotTable3"/>
    <pivotTable tabId="2" name="PivotTable4"/>
    <pivotTable tabId="2" name="PivotTable5"/>
    <pivotTable tabId="2" name="PivotTable6"/>
    <pivotTable tabId="2" name="PivotTable8"/>
  </pivotTables>
  <data>
    <tabular pivotCacheId="11759980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92DD9A-25EE-4F34-9126-306C9D68954A}" sourceName="Month">
  <pivotTables>
    <pivotTable tabId="2" name="PivotTable2"/>
    <pivotTable tabId="2" name="PivotTable1"/>
    <pivotTable tabId="2" name="PivotTable3"/>
    <pivotTable tabId="2" name="PivotTable4"/>
    <pivotTable tabId="2" name="PivotTable5"/>
    <pivotTable tabId="2" name="PivotTable6"/>
    <pivotTable tabId="2" name="PivotTable8"/>
  </pivotTables>
  <data>
    <tabular pivotCacheId="1175998094">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8143B0-5F6F-4400-8662-299303ED5DA5}" cache="Slicer_Region" caption="Region" columnCount="2" rowHeight="247650"/>
  <slicer name="Year" xr10:uid="{557A70AF-DD87-41C9-ADA9-4E98B7ECD794}" cache="Slicer_Year" caption="Year" columnCount="2" rowHeight="247650"/>
  <slicer name="Month" xr10:uid="{2AF2CF57-8691-440E-B5D0-DCCF483644A3}" cache="Slicer_Month" caption="Month"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D113580-4A55-4928-8530-2535EB9FCF56}" cache="Slicer_Region" caption="Region" columnCount="2" rowHeight="247650"/>
  <slicer name="Year 1" xr10:uid="{C71F2271-F407-4A01-8E0A-3C42EA40E009}" cache="Slicer_Year" caption="Year" rowHeight="247650"/>
  <slicer name="Month 1" xr10:uid="{4DE0F344-16FD-4B61-8D17-E26096D0A9EE}" cache="Slicer_Month" caption="Month"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1E61C-5EA8-4010-9A53-07FC1D3B3F27}" name="Table1" displayName="Table1" ref="A3:J87" totalsRowShown="0">
  <autoFilter ref="A3:J87" xr:uid="{D671E61C-5EA8-4010-9A53-07FC1D3B3F27}"/>
  <tableColumns count="10">
    <tableColumn id="1" xr3:uid="{51FCB09D-DBC7-4174-9FA4-9BC396001523}" name="Sl No"/>
    <tableColumn id="2" xr3:uid="{F79165B5-3D9D-46CD-B3A0-807D60D42E28}" name="Date" dataDxfId="0"/>
    <tableColumn id="3" xr3:uid="{0C8FCCC8-7C11-4B8D-91EF-B9496155D6A8}" name="Customer"/>
    <tableColumn id="4" xr3:uid="{EB6236FD-6F76-4329-ADA4-F68AA73B7227}" name="Region"/>
    <tableColumn id="5" xr3:uid="{9A7BED6F-61CF-4217-90A3-5DB2AA1597F9}" name="Item"/>
    <tableColumn id="6" xr3:uid="{61189FDB-E706-4FB3-A2AD-E79CC94B80BA}" name="Qty"/>
    <tableColumn id="7" xr3:uid="{3116C24C-AF75-4FF8-901F-28C9E2DF8157}" name="Price"/>
    <tableColumn id="8" xr3:uid="{584C7617-5EE2-4974-A40F-676BDA0F978C}" name="Amount"/>
    <tableColumn id="9" xr3:uid="{CB7E0BFF-257C-487B-AFCE-C8895D94EF21}" name="Month"/>
    <tableColumn id="10" xr3:uid="{C797FA7B-619E-4821-807F-8C53EE1991D4}"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0084-4722-447C-97BD-01CF03E443D0}">
  <dimension ref="A1:J87"/>
  <sheetViews>
    <sheetView workbookViewId="0">
      <selection activeCell="A3" sqref="A3:J87"/>
    </sheetView>
  </sheetViews>
  <sheetFormatPr defaultRowHeight="14.4" x14ac:dyDescent="0.3"/>
  <cols>
    <col min="1" max="1" width="9" bestFit="1" customWidth="1"/>
    <col min="2" max="2" width="10.33203125" bestFit="1" customWidth="1"/>
    <col min="3" max="3" width="15.5546875" bestFit="1" customWidth="1"/>
    <col min="4" max="4" width="9" bestFit="1" customWidth="1"/>
    <col min="5" max="5" width="16.44140625" bestFit="1" customWidth="1"/>
    <col min="6" max="7" width="9" bestFit="1" customWidth="1"/>
    <col min="8" max="8" width="9.6640625" bestFit="1" customWidth="1"/>
    <col min="9" max="9" width="9.77734375" bestFit="1" customWidth="1"/>
    <col min="10" max="10" width="9" bestFit="1" customWidth="1"/>
  </cols>
  <sheetData>
    <row r="1" spans="1:10" x14ac:dyDescent="0.3">
      <c r="A1" s="5" t="s">
        <v>100</v>
      </c>
    </row>
    <row r="3" spans="1:10" x14ac:dyDescent="0.3">
      <c r="A3" t="s">
        <v>42</v>
      </c>
      <c r="B3" t="s">
        <v>43</v>
      </c>
      <c r="C3" t="s">
        <v>44</v>
      </c>
      <c r="D3" t="s">
        <v>45</v>
      </c>
      <c r="E3" t="s">
        <v>46</v>
      </c>
      <c r="F3" t="s">
        <v>47</v>
      </c>
      <c r="G3" t="s">
        <v>48</v>
      </c>
      <c r="H3" t="s">
        <v>49</v>
      </c>
      <c r="I3" t="s">
        <v>50</v>
      </c>
      <c r="J3" t="s">
        <v>51</v>
      </c>
    </row>
    <row r="4" spans="1:10" x14ac:dyDescent="0.3">
      <c r="A4">
        <v>1</v>
      </c>
      <c r="B4" s="4">
        <v>45916</v>
      </c>
      <c r="C4" t="s">
        <v>52</v>
      </c>
      <c r="D4" t="s">
        <v>3</v>
      </c>
      <c r="E4" t="s">
        <v>28</v>
      </c>
      <c r="F4">
        <v>21</v>
      </c>
      <c r="G4">
        <v>50</v>
      </c>
      <c r="H4">
        <v>1050</v>
      </c>
      <c r="I4" t="s">
        <v>10</v>
      </c>
      <c r="J4">
        <v>2025</v>
      </c>
    </row>
    <row r="5" spans="1:10" x14ac:dyDescent="0.3">
      <c r="A5">
        <v>2</v>
      </c>
      <c r="B5" s="4">
        <v>45917</v>
      </c>
      <c r="C5" t="s">
        <v>53</v>
      </c>
      <c r="D5" t="s">
        <v>4</v>
      </c>
      <c r="E5" t="s">
        <v>16</v>
      </c>
      <c r="F5">
        <v>36</v>
      </c>
      <c r="G5">
        <v>500</v>
      </c>
      <c r="H5">
        <v>18000</v>
      </c>
      <c r="I5" t="s">
        <v>10</v>
      </c>
      <c r="J5">
        <v>2025</v>
      </c>
    </row>
    <row r="6" spans="1:10" x14ac:dyDescent="0.3">
      <c r="A6">
        <v>3</v>
      </c>
      <c r="B6" s="4">
        <v>45918</v>
      </c>
      <c r="C6" t="s">
        <v>54</v>
      </c>
      <c r="D6" t="s">
        <v>2</v>
      </c>
      <c r="E6" t="s">
        <v>14</v>
      </c>
      <c r="F6">
        <v>32</v>
      </c>
      <c r="G6">
        <v>120</v>
      </c>
      <c r="H6">
        <v>3840</v>
      </c>
      <c r="I6" t="s">
        <v>10</v>
      </c>
      <c r="J6">
        <v>2025</v>
      </c>
    </row>
    <row r="7" spans="1:10" x14ac:dyDescent="0.3">
      <c r="A7">
        <v>4</v>
      </c>
      <c r="B7" s="4">
        <v>45919</v>
      </c>
      <c r="C7" t="s">
        <v>55</v>
      </c>
      <c r="D7" t="s">
        <v>5</v>
      </c>
      <c r="E7" t="s">
        <v>29</v>
      </c>
      <c r="F7">
        <v>21</v>
      </c>
      <c r="G7">
        <v>50</v>
      </c>
      <c r="H7">
        <v>1050</v>
      </c>
      <c r="I7" t="s">
        <v>10</v>
      </c>
      <c r="J7">
        <v>2025</v>
      </c>
    </row>
    <row r="8" spans="1:10" x14ac:dyDescent="0.3">
      <c r="A8">
        <v>5</v>
      </c>
      <c r="B8" s="4">
        <v>45920</v>
      </c>
      <c r="C8" t="s">
        <v>56</v>
      </c>
      <c r="D8" t="s">
        <v>3</v>
      </c>
      <c r="E8" t="s">
        <v>17</v>
      </c>
      <c r="F8">
        <v>23</v>
      </c>
      <c r="G8">
        <v>8000</v>
      </c>
      <c r="H8">
        <v>184000</v>
      </c>
      <c r="I8" t="s">
        <v>10</v>
      </c>
      <c r="J8">
        <v>2025</v>
      </c>
    </row>
    <row r="9" spans="1:10" x14ac:dyDescent="0.3">
      <c r="A9">
        <v>6</v>
      </c>
      <c r="B9" s="4">
        <v>45921</v>
      </c>
      <c r="C9" t="s">
        <v>57</v>
      </c>
      <c r="D9" t="s">
        <v>4</v>
      </c>
      <c r="E9" t="s">
        <v>15</v>
      </c>
      <c r="F9">
        <v>10</v>
      </c>
      <c r="G9">
        <v>600</v>
      </c>
      <c r="H9">
        <v>6000</v>
      </c>
      <c r="I9" t="s">
        <v>10</v>
      </c>
      <c r="J9">
        <v>2025</v>
      </c>
    </row>
    <row r="10" spans="1:10" x14ac:dyDescent="0.3">
      <c r="A10">
        <v>7</v>
      </c>
      <c r="B10" s="4">
        <v>45922</v>
      </c>
      <c r="C10" t="s">
        <v>58</v>
      </c>
      <c r="D10" t="s">
        <v>5</v>
      </c>
      <c r="E10" t="s">
        <v>17</v>
      </c>
      <c r="F10">
        <v>25</v>
      </c>
      <c r="G10">
        <v>152</v>
      </c>
      <c r="H10">
        <v>3800</v>
      </c>
      <c r="I10" t="s">
        <v>10</v>
      </c>
      <c r="J10">
        <v>2025</v>
      </c>
    </row>
    <row r="11" spans="1:10" x14ac:dyDescent="0.3">
      <c r="A11">
        <v>8</v>
      </c>
      <c r="B11" s="4">
        <v>45923</v>
      </c>
      <c r="C11" t="s">
        <v>59</v>
      </c>
      <c r="D11" t="s">
        <v>2</v>
      </c>
      <c r="E11" t="s">
        <v>37</v>
      </c>
      <c r="F11">
        <v>63</v>
      </c>
      <c r="G11">
        <v>500</v>
      </c>
      <c r="H11">
        <v>31500</v>
      </c>
      <c r="I11" t="s">
        <v>10</v>
      </c>
      <c r="J11">
        <v>2025</v>
      </c>
    </row>
    <row r="12" spans="1:10" x14ac:dyDescent="0.3">
      <c r="A12">
        <v>9</v>
      </c>
      <c r="B12" s="4">
        <v>45924</v>
      </c>
      <c r="C12" t="s">
        <v>60</v>
      </c>
      <c r="D12" t="s">
        <v>3</v>
      </c>
      <c r="E12" t="s">
        <v>28</v>
      </c>
      <c r="F12">
        <v>45</v>
      </c>
      <c r="G12">
        <v>500</v>
      </c>
      <c r="H12">
        <v>22500</v>
      </c>
      <c r="I12" t="s">
        <v>10</v>
      </c>
      <c r="J12">
        <v>2025</v>
      </c>
    </row>
    <row r="13" spans="1:10" x14ac:dyDescent="0.3">
      <c r="A13">
        <v>10</v>
      </c>
      <c r="B13" s="4">
        <v>45925</v>
      </c>
      <c r="C13" t="s">
        <v>61</v>
      </c>
      <c r="D13" t="s">
        <v>4</v>
      </c>
      <c r="E13" t="s">
        <v>16</v>
      </c>
      <c r="F13">
        <v>56</v>
      </c>
      <c r="G13">
        <v>6000</v>
      </c>
      <c r="H13">
        <v>336000</v>
      </c>
      <c r="I13" t="s">
        <v>10</v>
      </c>
      <c r="J13">
        <v>2025</v>
      </c>
    </row>
    <row r="14" spans="1:10" x14ac:dyDescent="0.3">
      <c r="A14">
        <v>11</v>
      </c>
      <c r="B14" s="4">
        <v>45926</v>
      </c>
      <c r="C14" t="s">
        <v>55</v>
      </c>
      <c r="D14" t="s">
        <v>3</v>
      </c>
      <c r="E14" t="s">
        <v>14</v>
      </c>
      <c r="F14">
        <v>21</v>
      </c>
      <c r="G14">
        <v>120</v>
      </c>
      <c r="H14">
        <v>2520</v>
      </c>
      <c r="I14" t="s">
        <v>10</v>
      </c>
      <c r="J14">
        <v>2025</v>
      </c>
    </row>
    <row r="15" spans="1:10" x14ac:dyDescent="0.3">
      <c r="A15">
        <v>12</v>
      </c>
      <c r="B15" s="4">
        <v>45927</v>
      </c>
      <c r="C15" t="s">
        <v>56</v>
      </c>
      <c r="D15" t="s">
        <v>4</v>
      </c>
      <c r="E15" t="s">
        <v>29</v>
      </c>
      <c r="F15">
        <v>36</v>
      </c>
      <c r="G15">
        <v>230</v>
      </c>
      <c r="H15">
        <v>8280</v>
      </c>
      <c r="I15" t="s">
        <v>10</v>
      </c>
      <c r="J15">
        <v>2025</v>
      </c>
    </row>
    <row r="16" spans="1:10" x14ac:dyDescent="0.3">
      <c r="A16">
        <v>13</v>
      </c>
      <c r="B16" s="4">
        <v>45928</v>
      </c>
      <c r="C16" t="s">
        <v>57</v>
      </c>
      <c r="D16" t="s">
        <v>2</v>
      </c>
      <c r="E16" t="s">
        <v>17</v>
      </c>
      <c r="F16">
        <v>32</v>
      </c>
      <c r="G16">
        <v>600</v>
      </c>
      <c r="H16">
        <v>19200</v>
      </c>
      <c r="I16" t="s">
        <v>10</v>
      </c>
      <c r="J16">
        <v>2025</v>
      </c>
    </row>
    <row r="17" spans="1:10" x14ac:dyDescent="0.3">
      <c r="A17">
        <v>14</v>
      </c>
      <c r="B17" s="4">
        <v>45929</v>
      </c>
      <c r="C17" t="s">
        <v>58</v>
      </c>
      <c r="D17" t="s">
        <v>2</v>
      </c>
      <c r="E17" t="s">
        <v>15</v>
      </c>
      <c r="F17">
        <v>21</v>
      </c>
      <c r="G17">
        <v>100</v>
      </c>
      <c r="H17">
        <v>2100</v>
      </c>
      <c r="I17" t="s">
        <v>10</v>
      </c>
      <c r="J17">
        <v>2025</v>
      </c>
    </row>
    <row r="18" spans="1:10" x14ac:dyDescent="0.3">
      <c r="A18">
        <v>15</v>
      </c>
      <c r="B18" s="4">
        <v>45930</v>
      </c>
      <c r="C18" t="s">
        <v>59</v>
      </c>
      <c r="D18" t="s">
        <v>5</v>
      </c>
      <c r="E18" t="s">
        <v>17</v>
      </c>
      <c r="F18">
        <v>23</v>
      </c>
      <c r="G18">
        <v>200</v>
      </c>
      <c r="H18">
        <v>4600</v>
      </c>
      <c r="I18" t="s">
        <v>10</v>
      </c>
      <c r="J18">
        <v>2025</v>
      </c>
    </row>
    <row r="19" spans="1:10" x14ac:dyDescent="0.3">
      <c r="A19">
        <v>16</v>
      </c>
      <c r="B19" s="4">
        <v>45936</v>
      </c>
      <c r="C19" t="s">
        <v>53</v>
      </c>
      <c r="D19" t="s">
        <v>3</v>
      </c>
      <c r="E19" t="s">
        <v>37</v>
      </c>
      <c r="F19">
        <v>21</v>
      </c>
      <c r="G19">
        <v>300</v>
      </c>
      <c r="H19">
        <v>6300</v>
      </c>
      <c r="I19" t="s">
        <v>11</v>
      </c>
      <c r="J19">
        <v>2025</v>
      </c>
    </row>
    <row r="20" spans="1:10" x14ac:dyDescent="0.3">
      <c r="A20">
        <v>17</v>
      </c>
      <c r="B20" s="4">
        <v>45937</v>
      </c>
      <c r="C20" t="s">
        <v>54</v>
      </c>
      <c r="D20" t="s">
        <v>4</v>
      </c>
      <c r="E20" t="s">
        <v>28</v>
      </c>
      <c r="F20">
        <v>32</v>
      </c>
      <c r="G20">
        <v>50</v>
      </c>
      <c r="H20">
        <v>1600</v>
      </c>
      <c r="I20" t="s">
        <v>11</v>
      </c>
      <c r="J20">
        <v>2025</v>
      </c>
    </row>
    <row r="21" spans="1:10" x14ac:dyDescent="0.3">
      <c r="A21">
        <v>18</v>
      </c>
      <c r="B21" s="4">
        <v>45938</v>
      </c>
      <c r="C21" t="s">
        <v>55</v>
      </c>
      <c r="D21" t="s">
        <v>2</v>
      </c>
      <c r="E21" t="s">
        <v>16</v>
      </c>
      <c r="F21">
        <v>56</v>
      </c>
      <c r="G21">
        <v>500</v>
      </c>
      <c r="H21">
        <v>28000</v>
      </c>
      <c r="I21" t="s">
        <v>11</v>
      </c>
      <c r="J21">
        <v>2025</v>
      </c>
    </row>
    <row r="22" spans="1:10" x14ac:dyDescent="0.3">
      <c r="A22">
        <v>19</v>
      </c>
      <c r="B22" s="4">
        <v>45939</v>
      </c>
      <c r="C22" t="s">
        <v>56</v>
      </c>
      <c r="D22" t="s">
        <v>5</v>
      </c>
      <c r="E22" t="s">
        <v>14</v>
      </c>
      <c r="F22">
        <v>25</v>
      </c>
      <c r="G22">
        <v>120</v>
      </c>
      <c r="H22">
        <v>3000</v>
      </c>
      <c r="I22" t="s">
        <v>11</v>
      </c>
      <c r="J22">
        <v>2025</v>
      </c>
    </row>
    <row r="23" spans="1:10" x14ac:dyDescent="0.3">
      <c r="A23">
        <v>20</v>
      </c>
      <c r="B23" s="4">
        <v>45940</v>
      </c>
      <c r="C23" t="s">
        <v>57</v>
      </c>
      <c r="D23" t="s">
        <v>3</v>
      </c>
      <c r="E23" t="s">
        <v>29</v>
      </c>
      <c r="F23">
        <v>63</v>
      </c>
      <c r="G23">
        <v>50</v>
      </c>
      <c r="H23">
        <v>3150</v>
      </c>
      <c r="I23" t="s">
        <v>11</v>
      </c>
      <c r="J23">
        <v>2025</v>
      </c>
    </row>
    <row r="24" spans="1:10" x14ac:dyDescent="0.3">
      <c r="A24">
        <v>21</v>
      </c>
      <c r="B24" s="4">
        <v>46212</v>
      </c>
      <c r="C24" t="s">
        <v>60</v>
      </c>
      <c r="D24" t="s">
        <v>5</v>
      </c>
      <c r="E24" t="s">
        <v>17</v>
      </c>
      <c r="F24">
        <v>25</v>
      </c>
      <c r="G24">
        <v>152</v>
      </c>
      <c r="H24">
        <v>3800</v>
      </c>
      <c r="I24" t="s">
        <v>9</v>
      </c>
      <c r="J24">
        <v>2026</v>
      </c>
    </row>
    <row r="25" spans="1:10" x14ac:dyDescent="0.3">
      <c r="A25">
        <v>22</v>
      </c>
      <c r="B25" s="4">
        <v>46213</v>
      </c>
      <c r="C25" t="s">
        <v>61</v>
      </c>
      <c r="D25" t="s">
        <v>2</v>
      </c>
      <c r="E25" t="s">
        <v>37</v>
      </c>
      <c r="F25">
        <v>63</v>
      </c>
      <c r="G25">
        <v>500</v>
      </c>
      <c r="H25">
        <v>31500</v>
      </c>
      <c r="I25" t="s">
        <v>9</v>
      </c>
      <c r="J25">
        <v>2026</v>
      </c>
    </row>
    <row r="26" spans="1:10" x14ac:dyDescent="0.3">
      <c r="A26">
        <v>23</v>
      </c>
      <c r="B26" s="4">
        <v>45962</v>
      </c>
      <c r="C26" t="s">
        <v>62</v>
      </c>
      <c r="D26" t="s">
        <v>5</v>
      </c>
      <c r="E26" t="s">
        <v>26</v>
      </c>
      <c r="F26">
        <v>15</v>
      </c>
      <c r="G26">
        <v>1200</v>
      </c>
      <c r="H26">
        <v>18000</v>
      </c>
      <c r="I26" t="s">
        <v>12</v>
      </c>
      <c r="J26">
        <v>2025</v>
      </c>
    </row>
    <row r="27" spans="1:10" x14ac:dyDescent="0.3">
      <c r="A27">
        <v>24</v>
      </c>
      <c r="B27" s="4">
        <v>45963</v>
      </c>
      <c r="C27" t="s">
        <v>63</v>
      </c>
      <c r="D27" t="s">
        <v>3</v>
      </c>
      <c r="E27" t="s">
        <v>23</v>
      </c>
      <c r="F27">
        <v>40</v>
      </c>
      <c r="G27">
        <v>150</v>
      </c>
      <c r="H27">
        <v>6000</v>
      </c>
      <c r="I27" t="s">
        <v>12</v>
      </c>
      <c r="J27">
        <v>2025</v>
      </c>
    </row>
    <row r="28" spans="1:10" x14ac:dyDescent="0.3">
      <c r="A28">
        <v>25</v>
      </c>
      <c r="B28" s="4">
        <v>45964</v>
      </c>
      <c r="C28" t="s">
        <v>64</v>
      </c>
      <c r="D28" t="s">
        <v>2</v>
      </c>
      <c r="E28" t="s">
        <v>27</v>
      </c>
      <c r="F28">
        <v>75</v>
      </c>
      <c r="G28">
        <v>50</v>
      </c>
      <c r="H28">
        <v>3750</v>
      </c>
      <c r="I28" t="s">
        <v>12</v>
      </c>
      <c r="J28">
        <v>2025</v>
      </c>
    </row>
    <row r="29" spans="1:10" x14ac:dyDescent="0.3">
      <c r="A29">
        <v>26</v>
      </c>
      <c r="B29" s="4">
        <v>45965</v>
      </c>
      <c r="C29" t="s">
        <v>65</v>
      </c>
      <c r="D29" t="s">
        <v>4</v>
      </c>
      <c r="E29" t="s">
        <v>22</v>
      </c>
      <c r="F29">
        <v>28</v>
      </c>
      <c r="G29">
        <v>350</v>
      </c>
      <c r="H29">
        <v>9800</v>
      </c>
      <c r="I29" t="s">
        <v>12</v>
      </c>
      <c r="J29">
        <v>2025</v>
      </c>
    </row>
    <row r="30" spans="1:10" x14ac:dyDescent="0.3">
      <c r="A30">
        <v>27</v>
      </c>
      <c r="B30" s="4">
        <v>45966</v>
      </c>
      <c r="C30" t="s">
        <v>66</v>
      </c>
      <c r="D30" t="s">
        <v>5</v>
      </c>
      <c r="E30" t="s">
        <v>31</v>
      </c>
      <c r="F30">
        <v>5</v>
      </c>
      <c r="G30">
        <v>4500</v>
      </c>
      <c r="H30">
        <v>22500</v>
      </c>
      <c r="I30" t="s">
        <v>12</v>
      </c>
      <c r="J30">
        <v>2025</v>
      </c>
    </row>
    <row r="31" spans="1:10" x14ac:dyDescent="0.3">
      <c r="A31">
        <v>28</v>
      </c>
      <c r="B31" s="4">
        <v>45967</v>
      </c>
      <c r="C31" t="s">
        <v>67</v>
      </c>
      <c r="D31" t="s">
        <v>3</v>
      </c>
      <c r="E31" t="s">
        <v>24</v>
      </c>
      <c r="F31">
        <v>60</v>
      </c>
      <c r="G31">
        <v>90</v>
      </c>
      <c r="H31">
        <v>5400</v>
      </c>
      <c r="I31" t="s">
        <v>12</v>
      </c>
      <c r="J31">
        <v>2025</v>
      </c>
    </row>
    <row r="32" spans="1:10" x14ac:dyDescent="0.3">
      <c r="A32">
        <v>29</v>
      </c>
      <c r="B32" s="4">
        <v>45968</v>
      </c>
      <c r="C32" t="s">
        <v>68</v>
      </c>
      <c r="D32" t="s">
        <v>2</v>
      </c>
      <c r="E32" t="s">
        <v>39</v>
      </c>
      <c r="F32">
        <v>18</v>
      </c>
      <c r="G32">
        <v>200</v>
      </c>
      <c r="H32">
        <v>3600</v>
      </c>
      <c r="I32" t="s">
        <v>12</v>
      </c>
      <c r="J32">
        <v>2025</v>
      </c>
    </row>
    <row r="33" spans="1:10" x14ac:dyDescent="0.3">
      <c r="A33">
        <v>30</v>
      </c>
      <c r="B33" s="4">
        <v>45969</v>
      </c>
      <c r="C33" t="s">
        <v>69</v>
      </c>
      <c r="D33" t="s">
        <v>4</v>
      </c>
      <c r="E33" t="s">
        <v>19</v>
      </c>
      <c r="F33">
        <v>12</v>
      </c>
      <c r="G33">
        <v>800</v>
      </c>
      <c r="H33">
        <v>9600</v>
      </c>
      <c r="I33" t="s">
        <v>12</v>
      </c>
      <c r="J33">
        <v>2025</v>
      </c>
    </row>
    <row r="34" spans="1:10" x14ac:dyDescent="0.3">
      <c r="A34">
        <v>31</v>
      </c>
      <c r="B34" s="4">
        <v>45970</v>
      </c>
      <c r="C34" t="s">
        <v>70</v>
      </c>
      <c r="D34" t="s">
        <v>5</v>
      </c>
      <c r="E34" t="s">
        <v>21</v>
      </c>
      <c r="F34">
        <v>3</v>
      </c>
      <c r="G34">
        <v>9000</v>
      </c>
      <c r="H34">
        <v>27000</v>
      </c>
      <c r="I34" t="s">
        <v>12</v>
      </c>
      <c r="J34">
        <v>2025</v>
      </c>
    </row>
    <row r="35" spans="1:10" x14ac:dyDescent="0.3">
      <c r="A35">
        <v>32</v>
      </c>
      <c r="B35" s="4">
        <v>45971</v>
      </c>
      <c r="C35" t="s">
        <v>71</v>
      </c>
      <c r="D35" t="s">
        <v>3</v>
      </c>
      <c r="E35" t="s">
        <v>33</v>
      </c>
      <c r="F35">
        <v>35</v>
      </c>
      <c r="G35">
        <v>400</v>
      </c>
      <c r="H35">
        <v>14000</v>
      </c>
      <c r="I35" t="s">
        <v>12</v>
      </c>
      <c r="J35">
        <v>2025</v>
      </c>
    </row>
    <row r="36" spans="1:10" x14ac:dyDescent="0.3">
      <c r="A36">
        <v>33</v>
      </c>
      <c r="B36" s="4">
        <v>45972</v>
      </c>
      <c r="C36" t="s">
        <v>72</v>
      </c>
      <c r="D36" t="s">
        <v>2</v>
      </c>
      <c r="E36" t="s">
        <v>38</v>
      </c>
      <c r="F36">
        <v>50</v>
      </c>
      <c r="G36">
        <v>75</v>
      </c>
      <c r="H36">
        <v>3750</v>
      </c>
      <c r="I36" t="s">
        <v>12</v>
      </c>
      <c r="J36">
        <v>2025</v>
      </c>
    </row>
    <row r="37" spans="1:10" x14ac:dyDescent="0.3">
      <c r="A37">
        <v>34</v>
      </c>
      <c r="B37" s="4">
        <v>45973</v>
      </c>
      <c r="C37" t="s">
        <v>73</v>
      </c>
      <c r="D37" t="s">
        <v>4</v>
      </c>
      <c r="E37" t="s">
        <v>36</v>
      </c>
      <c r="F37">
        <v>9</v>
      </c>
      <c r="G37">
        <v>1500</v>
      </c>
      <c r="H37">
        <v>13500</v>
      </c>
      <c r="I37" t="s">
        <v>12</v>
      </c>
      <c r="J37">
        <v>2025</v>
      </c>
    </row>
    <row r="38" spans="1:10" x14ac:dyDescent="0.3">
      <c r="A38">
        <v>35</v>
      </c>
      <c r="B38" s="4">
        <v>45974</v>
      </c>
      <c r="C38" t="s">
        <v>74</v>
      </c>
      <c r="D38" t="s">
        <v>5</v>
      </c>
      <c r="E38" t="s">
        <v>35</v>
      </c>
      <c r="F38">
        <v>22</v>
      </c>
      <c r="G38">
        <v>250</v>
      </c>
      <c r="H38">
        <v>5500</v>
      </c>
      <c r="I38" t="s">
        <v>12</v>
      </c>
      <c r="J38">
        <v>2025</v>
      </c>
    </row>
    <row r="39" spans="1:10" x14ac:dyDescent="0.3">
      <c r="A39">
        <v>36</v>
      </c>
      <c r="B39" s="4">
        <v>45975</v>
      </c>
      <c r="C39" t="s">
        <v>75</v>
      </c>
      <c r="D39" t="s">
        <v>3</v>
      </c>
      <c r="E39" t="s">
        <v>30</v>
      </c>
      <c r="F39">
        <v>80</v>
      </c>
      <c r="G39">
        <v>120</v>
      </c>
      <c r="H39">
        <v>9600</v>
      </c>
      <c r="I39" t="s">
        <v>12</v>
      </c>
      <c r="J39">
        <v>2025</v>
      </c>
    </row>
    <row r="40" spans="1:10" x14ac:dyDescent="0.3">
      <c r="A40">
        <v>37</v>
      </c>
      <c r="B40" s="4">
        <v>45976</v>
      </c>
      <c r="C40" t="s">
        <v>76</v>
      </c>
      <c r="D40" t="s">
        <v>2</v>
      </c>
      <c r="E40" t="s">
        <v>32</v>
      </c>
      <c r="F40">
        <v>4</v>
      </c>
      <c r="G40">
        <v>3000</v>
      </c>
      <c r="H40">
        <v>12000</v>
      </c>
      <c r="I40" t="s">
        <v>12</v>
      </c>
      <c r="J40">
        <v>2025</v>
      </c>
    </row>
    <row r="41" spans="1:10" x14ac:dyDescent="0.3">
      <c r="A41">
        <v>38</v>
      </c>
      <c r="B41" s="4">
        <v>45977</v>
      </c>
      <c r="C41" t="s">
        <v>77</v>
      </c>
      <c r="D41" t="s">
        <v>4</v>
      </c>
      <c r="E41" t="s">
        <v>25</v>
      </c>
      <c r="F41">
        <v>95</v>
      </c>
      <c r="G41">
        <v>40</v>
      </c>
      <c r="H41">
        <v>3800</v>
      </c>
      <c r="I41" t="s">
        <v>12</v>
      </c>
      <c r="J41">
        <v>2025</v>
      </c>
    </row>
    <row r="42" spans="1:10" x14ac:dyDescent="0.3">
      <c r="A42">
        <v>39</v>
      </c>
      <c r="B42" s="4">
        <v>45978</v>
      </c>
      <c r="C42" t="s">
        <v>78</v>
      </c>
      <c r="D42" t="s">
        <v>5</v>
      </c>
      <c r="E42" t="s">
        <v>34</v>
      </c>
      <c r="F42">
        <v>10</v>
      </c>
      <c r="G42">
        <v>700</v>
      </c>
      <c r="H42">
        <v>7000</v>
      </c>
      <c r="I42" t="s">
        <v>12</v>
      </c>
      <c r="J42">
        <v>2025</v>
      </c>
    </row>
    <row r="43" spans="1:10" x14ac:dyDescent="0.3">
      <c r="A43">
        <v>40</v>
      </c>
      <c r="B43" s="4">
        <v>45979</v>
      </c>
      <c r="C43" t="s">
        <v>79</v>
      </c>
      <c r="D43" t="s">
        <v>3</v>
      </c>
      <c r="E43" t="s">
        <v>18</v>
      </c>
      <c r="F43">
        <v>7</v>
      </c>
      <c r="G43">
        <v>950</v>
      </c>
      <c r="H43">
        <v>6650</v>
      </c>
      <c r="I43" t="s">
        <v>12</v>
      </c>
      <c r="J43">
        <v>2025</v>
      </c>
    </row>
    <row r="44" spans="1:10" x14ac:dyDescent="0.3">
      <c r="A44">
        <v>41</v>
      </c>
      <c r="B44" s="4">
        <v>45980</v>
      </c>
      <c r="C44" t="s">
        <v>80</v>
      </c>
      <c r="D44" t="s">
        <v>2</v>
      </c>
      <c r="E44" t="s">
        <v>40</v>
      </c>
      <c r="F44">
        <v>30</v>
      </c>
      <c r="G44">
        <v>180</v>
      </c>
      <c r="H44">
        <v>5400</v>
      </c>
      <c r="I44" t="s">
        <v>12</v>
      </c>
      <c r="J44">
        <v>2025</v>
      </c>
    </row>
    <row r="45" spans="1:10" x14ac:dyDescent="0.3">
      <c r="A45">
        <v>42</v>
      </c>
      <c r="B45" s="4">
        <v>45981</v>
      </c>
      <c r="C45" t="s">
        <v>81</v>
      </c>
      <c r="D45" t="s">
        <v>4</v>
      </c>
      <c r="E45" t="s">
        <v>20</v>
      </c>
      <c r="F45">
        <v>55</v>
      </c>
      <c r="G45">
        <v>60</v>
      </c>
      <c r="H45">
        <v>3300</v>
      </c>
      <c r="I45" t="s">
        <v>12</v>
      </c>
      <c r="J45">
        <v>2025</v>
      </c>
    </row>
    <row r="46" spans="1:10" x14ac:dyDescent="0.3">
      <c r="A46">
        <v>1</v>
      </c>
      <c r="B46" s="4">
        <v>45982</v>
      </c>
      <c r="C46" t="s">
        <v>82</v>
      </c>
      <c r="D46" t="s">
        <v>3</v>
      </c>
      <c r="E46" t="s">
        <v>28</v>
      </c>
      <c r="F46">
        <v>80</v>
      </c>
      <c r="G46">
        <v>50</v>
      </c>
      <c r="H46">
        <v>1050</v>
      </c>
      <c r="I46" t="s">
        <v>12</v>
      </c>
      <c r="J46">
        <v>2025</v>
      </c>
    </row>
    <row r="47" spans="1:10" x14ac:dyDescent="0.3">
      <c r="A47">
        <v>2</v>
      </c>
      <c r="B47" s="4">
        <v>45983</v>
      </c>
      <c r="C47" t="s">
        <v>83</v>
      </c>
      <c r="D47" t="s">
        <v>4</v>
      </c>
      <c r="E47" t="s">
        <v>16</v>
      </c>
      <c r="F47">
        <v>105</v>
      </c>
      <c r="G47">
        <v>500</v>
      </c>
      <c r="H47">
        <v>18000</v>
      </c>
      <c r="I47" t="s">
        <v>12</v>
      </c>
      <c r="J47">
        <v>2025</v>
      </c>
    </row>
    <row r="48" spans="1:10" x14ac:dyDescent="0.3">
      <c r="A48">
        <v>3</v>
      </c>
      <c r="B48" s="4">
        <v>45984</v>
      </c>
      <c r="C48" t="s">
        <v>84</v>
      </c>
      <c r="D48" t="s">
        <v>2</v>
      </c>
      <c r="E48" t="s">
        <v>14</v>
      </c>
      <c r="F48">
        <v>130</v>
      </c>
      <c r="G48">
        <v>120</v>
      </c>
      <c r="H48">
        <v>3840</v>
      </c>
      <c r="I48" t="s">
        <v>12</v>
      </c>
      <c r="J48">
        <v>2025</v>
      </c>
    </row>
    <row r="49" spans="1:10" x14ac:dyDescent="0.3">
      <c r="A49">
        <v>4</v>
      </c>
      <c r="B49" s="4">
        <v>45985</v>
      </c>
      <c r="C49" t="s">
        <v>85</v>
      </c>
      <c r="D49" t="s">
        <v>5</v>
      </c>
      <c r="E49" t="s">
        <v>29</v>
      </c>
      <c r="F49">
        <v>155</v>
      </c>
      <c r="G49">
        <v>50</v>
      </c>
      <c r="H49">
        <v>1050</v>
      </c>
      <c r="I49" t="s">
        <v>12</v>
      </c>
      <c r="J49">
        <v>2025</v>
      </c>
    </row>
    <row r="50" spans="1:10" x14ac:dyDescent="0.3">
      <c r="A50">
        <v>5</v>
      </c>
      <c r="B50" s="4">
        <v>45986</v>
      </c>
      <c r="C50" t="s">
        <v>86</v>
      </c>
      <c r="D50" t="s">
        <v>3</v>
      </c>
      <c r="E50" t="s">
        <v>17</v>
      </c>
      <c r="F50">
        <v>180</v>
      </c>
      <c r="G50">
        <v>8000</v>
      </c>
      <c r="H50">
        <v>184000</v>
      </c>
      <c r="I50" t="s">
        <v>12</v>
      </c>
      <c r="J50">
        <v>2025</v>
      </c>
    </row>
    <row r="51" spans="1:10" x14ac:dyDescent="0.3">
      <c r="A51">
        <v>6</v>
      </c>
      <c r="B51" s="4">
        <v>45987</v>
      </c>
      <c r="C51" t="s">
        <v>87</v>
      </c>
      <c r="D51" t="s">
        <v>4</v>
      </c>
      <c r="E51" t="s">
        <v>15</v>
      </c>
      <c r="F51">
        <v>205</v>
      </c>
      <c r="G51">
        <v>600</v>
      </c>
      <c r="H51">
        <v>6000</v>
      </c>
      <c r="I51" t="s">
        <v>12</v>
      </c>
      <c r="J51">
        <v>2025</v>
      </c>
    </row>
    <row r="52" spans="1:10" x14ac:dyDescent="0.3">
      <c r="A52">
        <v>7</v>
      </c>
      <c r="B52" s="4">
        <v>45988</v>
      </c>
      <c r="C52" t="s">
        <v>88</v>
      </c>
      <c r="D52" t="s">
        <v>5</v>
      </c>
      <c r="E52" t="s">
        <v>17</v>
      </c>
      <c r="F52">
        <v>230</v>
      </c>
      <c r="G52">
        <v>152</v>
      </c>
      <c r="H52">
        <v>3800</v>
      </c>
      <c r="I52" t="s">
        <v>12</v>
      </c>
      <c r="J52">
        <v>2025</v>
      </c>
    </row>
    <row r="53" spans="1:10" x14ac:dyDescent="0.3">
      <c r="A53">
        <v>8</v>
      </c>
      <c r="B53" s="4">
        <v>45989</v>
      </c>
      <c r="C53" t="s">
        <v>89</v>
      </c>
      <c r="D53" t="s">
        <v>2</v>
      </c>
      <c r="E53" t="s">
        <v>37</v>
      </c>
      <c r="F53">
        <v>255</v>
      </c>
      <c r="G53">
        <v>500</v>
      </c>
      <c r="H53">
        <v>31500</v>
      </c>
      <c r="I53" t="s">
        <v>12</v>
      </c>
      <c r="J53">
        <v>2025</v>
      </c>
    </row>
    <row r="54" spans="1:10" x14ac:dyDescent="0.3">
      <c r="A54">
        <v>9</v>
      </c>
      <c r="B54" s="4">
        <v>45990</v>
      </c>
      <c r="C54" t="s">
        <v>60</v>
      </c>
      <c r="D54" t="s">
        <v>3</v>
      </c>
      <c r="E54" t="s">
        <v>28</v>
      </c>
      <c r="F54">
        <v>280</v>
      </c>
      <c r="G54">
        <v>500</v>
      </c>
      <c r="H54">
        <v>22500</v>
      </c>
      <c r="I54" t="s">
        <v>12</v>
      </c>
      <c r="J54">
        <v>2025</v>
      </c>
    </row>
    <row r="55" spans="1:10" x14ac:dyDescent="0.3">
      <c r="A55">
        <v>10</v>
      </c>
      <c r="B55" s="4">
        <v>45991</v>
      </c>
      <c r="C55" t="s">
        <v>61</v>
      </c>
      <c r="D55" t="s">
        <v>4</v>
      </c>
      <c r="E55" t="s">
        <v>16</v>
      </c>
      <c r="F55">
        <v>56</v>
      </c>
      <c r="G55">
        <v>6000</v>
      </c>
      <c r="H55">
        <v>336000</v>
      </c>
      <c r="I55" t="s">
        <v>12</v>
      </c>
      <c r="J55">
        <v>2025</v>
      </c>
    </row>
    <row r="56" spans="1:10" x14ac:dyDescent="0.3">
      <c r="A56">
        <v>11</v>
      </c>
      <c r="B56" s="4">
        <v>45992</v>
      </c>
      <c r="C56" t="s">
        <v>55</v>
      </c>
      <c r="D56" t="s">
        <v>3</v>
      </c>
      <c r="E56" t="s">
        <v>14</v>
      </c>
      <c r="F56">
        <v>21</v>
      </c>
      <c r="G56">
        <v>120</v>
      </c>
      <c r="H56">
        <v>2520</v>
      </c>
      <c r="I56" t="s">
        <v>13</v>
      </c>
      <c r="J56">
        <v>2025</v>
      </c>
    </row>
    <row r="57" spans="1:10" x14ac:dyDescent="0.3">
      <c r="A57">
        <v>12</v>
      </c>
      <c r="B57" s="4">
        <v>45993</v>
      </c>
      <c r="C57" t="s">
        <v>56</v>
      </c>
      <c r="D57" t="s">
        <v>4</v>
      </c>
      <c r="E57" t="s">
        <v>29</v>
      </c>
      <c r="F57">
        <v>36</v>
      </c>
      <c r="G57">
        <v>230</v>
      </c>
      <c r="H57">
        <v>8280</v>
      </c>
      <c r="I57" t="s">
        <v>13</v>
      </c>
      <c r="J57">
        <v>2025</v>
      </c>
    </row>
    <row r="58" spans="1:10" x14ac:dyDescent="0.3">
      <c r="A58">
        <v>13</v>
      </c>
      <c r="B58" s="4">
        <v>45994</v>
      </c>
      <c r="C58" t="s">
        <v>57</v>
      </c>
      <c r="D58" t="s">
        <v>2</v>
      </c>
      <c r="E58" t="s">
        <v>17</v>
      </c>
      <c r="F58">
        <v>51</v>
      </c>
      <c r="G58">
        <v>600</v>
      </c>
      <c r="H58">
        <v>19200</v>
      </c>
      <c r="I58" t="s">
        <v>13</v>
      </c>
      <c r="J58">
        <v>2025</v>
      </c>
    </row>
    <row r="59" spans="1:10" x14ac:dyDescent="0.3">
      <c r="A59">
        <v>14</v>
      </c>
      <c r="B59" s="4">
        <v>45995</v>
      </c>
      <c r="C59" t="s">
        <v>58</v>
      </c>
      <c r="D59" t="s">
        <v>2</v>
      </c>
      <c r="E59" t="s">
        <v>15</v>
      </c>
      <c r="F59">
        <v>66</v>
      </c>
      <c r="G59">
        <v>100</v>
      </c>
      <c r="H59">
        <v>2100</v>
      </c>
      <c r="I59" t="s">
        <v>13</v>
      </c>
      <c r="J59">
        <v>2025</v>
      </c>
    </row>
    <row r="60" spans="1:10" x14ac:dyDescent="0.3">
      <c r="A60">
        <v>15</v>
      </c>
      <c r="B60" s="4">
        <v>45996</v>
      </c>
      <c r="C60" t="s">
        <v>59</v>
      </c>
      <c r="D60" t="s">
        <v>5</v>
      </c>
      <c r="E60" t="s">
        <v>17</v>
      </c>
      <c r="F60">
        <v>81</v>
      </c>
      <c r="G60">
        <v>200</v>
      </c>
      <c r="H60">
        <v>4600</v>
      </c>
      <c r="I60" t="s">
        <v>13</v>
      </c>
      <c r="J60">
        <v>2025</v>
      </c>
    </row>
    <row r="61" spans="1:10" x14ac:dyDescent="0.3">
      <c r="A61">
        <v>16</v>
      </c>
      <c r="B61" s="4">
        <v>45997</v>
      </c>
      <c r="C61" t="s">
        <v>53</v>
      </c>
      <c r="D61" t="s">
        <v>3</v>
      </c>
      <c r="E61" t="s">
        <v>37</v>
      </c>
      <c r="F61">
        <v>96</v>
      </c>
      <c r="G61">
        <v>300</v>
      </c>
      <c r="H61">
        <v>6300</v>
      </c>
      <c r="I61" t="s">
        <v>13</v>
      </c>
      <c r="J61">
        <v>2025</v>
      </c>
    </row>
    <row r="62" spans="1:10" x14ac:dyDescent="0.3">
      <c r="A62">
        <v>17</v>
      </c>
      <c r="B62" s="4">
        <v>45998</v>
      </c>
      <c r="C62" t="s">
        <v>54</v>
      </c>
      <c r="D62" t="s">
        <v>4</v>
      </c>
      <c r="E62" t="s">
        <v>28</v>
      </c>
      <c r="F62">
        <v>111</v>
      </c>
      <c r="G62">
        <v>50</v>
      </c>
      <c r="H62">
        <v>1600</v>
      </c>
      <c r="I62" t="s">
        <v>13</v>
      </c>
      <c r="J62">
        <v>2025</v>
      </c>
    </row>
    <row r="63" spans="1:10" x14ac:dyDescent="0.3">
      <c r="A63">
        <v>18</v>
      </c>
      <c r="B63" s="4">
        <v>45999</v>
      </c>
      <c r="C63" t="s">
        <v>55</v>
      </c>
      <c r="D63" t="s">
        <v>2</v>
      </c>
      <c r="E63" t="s">
        <v>16</v>
      </c>
      <c r="F63">
        <v>126</v>
      </c>
      <c r="G63">
        <v>500</v>
      </c>
      <c r="H63">
        <v>28000</v>
      </c>
      <c r="I63" t="s">
        <v>13</v>
      </c>
      <c r="J63">
        <v>2025</v>
      </c>
    </row>
    <row r="64" spans="1:10" x14ac:dyDescent="0.3">
      <c r="A64">
        <v>19</v>
      </c>
      <c r="B64" s="4">
        <v>46000</v>
      </c>
      <c r="C64" t="s">
        <v>56</v>
      </c>
      <c r="D64" t="s">
        <v>5</v>
      </c>
      <c r="E64" t="s">
        <v>14</v>
      </c>
      <c r="F64">
        <v>141</v>
      </c>
      <c r="G64">
        <v>120</v>
      </c>
      <c r="H64">
        <v>3000</v>
      </c>
      <c r="I64" t="s">
        <v>13</v>
      </c>
      <c r="J64">
        <v>2025</v>
      </c>
    </row>
    <row r="65" spans="1:10" x14ac:dyDescent="0.3">
      <c r="A65">
        <v>20</v>
      </c>
      <c r="B65" s="4">
        <v>46001</v>
      </c>
      <c r="C65" t="s">
        <v>57</v>
      </c>
      <c r="D65" t="s">
        <v>3</v>
      </c>
      <c r="E65" t="s">
        <v>29</v>
      </c>
      <c r="F65">
        <v>156</v>
      </c>
      <c r="G65">
        <v>50</v>
      </c>
      <c r="H65">
        <v>3150</v>
      </c>
      <c r="I65" t="s">
        <v>13</v>
      </c>
      <c r="J65">
        <v>2025</v>
      </c>
    </row>
    <row r="66" spans="1:10" x14ac:dyDescent="0.3">
      <c r="A66">
        <v>21</v>
      </c>
      <c r="B66" s="4">
        <v>46002</v>
      </c>
      <c r="C66" t="s">
        <v>60</v>
      </c>
      <c r="D66" t="s">
        <v>5</v>
      </c>
      <c r="E66" t="s">
        <v>17</v>
      </c>
      <c r="F66">
        <v>171</v>
      </c>
      <c r="G66">
        <v>152</v>
      </c>
      <c r="H66">
        <v>3800</v>
      </c>
      <c r="I66" t="s">
        <v>13</v>
      </c>
      <c r="J66">
        <v>2025</v>
      </c>
    </row>
    <row r="67" spans="1:10" x14ac:dyDescent="0.3">
      <c r="A67">
        <v>22</v>
      </c>
      <c r="B67" s="4">
        <v>46003</v>
      </c>
      <c r="C67" t="s">
        <v>61</v>
      </c>
      <c r="D67" t="s">
        <v>2</v>
      </c>
      <c r="E67" t="s">
        <v>37</v>
      </c>
      <c r="F67">
        <v>186</v>
      </c>
      <c r="G67">
        <v>500</v>
      </c>
      <c r="H67">
        <v>31500</v>
      </c>
      <c r="I67" t="s">
        <v>13</v>
      </c>
      <c r="J67">
        <v>2025</v>
      </c>
    </row>
    <row r="68" spans="1:10" x14ac:dyDescent="0.3">
      <c r="A68">
        <v>23</v>
      </c>
      <c r="B68" s="4">
        <v>46004</v>
      </c>
      <c r="C68" t="s">
        <v>62</v>
      </c>
      <c r="D68" t="s">
        <v>5</v>
      </c>
      <c r="E68" t="s">
        <v>26</v>
      </c>
      <c r="F68">
        <v>201</v>
      </c>
      <c r="G68">
        <v>1200</v>
      </c>
      <c r="H68">
        <v>18000</v>
      </c>
      <c r="I68" t="s">
        <v>13</v>
      </c>
      <c r="J68">
        <v>2025</v>
      </c>
    </row>
    <row r="69" spans="1:10" x14ac:dyDescent="0.3">
      <c r="A69">
        <v>24</v>
      </c>
      <c r="B69" s="4">
        <v>46005</v>
      </c>
      <c r="C69" t="s">
        <v>63</v>
      </c>
      <c r="D69" t="s">
        <v>3</v>
      </c>
      <c r="E69" t="s">
        <v>23</v>
      </c>
      <c r="F69">
        <v>216</v>
      </c>
      <c r="G69">
        <v>150</v>
      </c>
      <c r="H69">
        <v>6000</v>
      </c>
      <c r="I69" t="s">
        <v>13</v>
      </c>
      <c r="J69">
        <v>2025</v>
      </c>
    </row>
    <row r="70" spans="1:10" x14ac:dyDescent="0.3">
      <c r="A70">
        <v>25</v>
      </c>
      <c r="B70" s="4">
        <v>46006</v>
      </c>
      <c r="C70" t="s">
        <v>64</v>
      </c>
      <c r="D70" t="s">
        <v>2</v>
      </c>
      <c r="E70" t="s">
        <v>27</v>
      </c>
      <c r="F70">
        <v>231</v>
      </c>
      <c r="G70">
        <v>50</v>
      </c>
      <c r="H70">
        <v>3750</v>
      </c>
      <c r="I70" t="s">
        <v>13</v>
      </c>
      <c r="J70">
        <v>2025</v>
      </c>
    </row>
    <row r="71" spans="1:10" x14ac:dyDescent="0.3">
      <c r="A71">
        <v>26</v>
      </c>
      <c r="B71" s="4">
        <v>46007</v>
      </c>
      <c r="C71" t="s">
        <v>65</v>
      </c>
      <c r="D71" t="s">
        <v>4</v>
      </c>
      <c r="E71" t="s">
        <v>22</v>
      </c>
      <c r="F71">
        <v>246</v>
      </c>
      <c r="G71">
        <v>350</v>
      </c>
      <c r="H71">
        <v>9800</v>
      </c>
      <c r="I71" t="s">
        <v>13</v>
      </c>
      <c r="J71">
        <v>2025</v>
      </c>
    </row>
    <row r="72" spans="1:10" x14ac:dyDescent="0.3">
      <c r="A72">
        <v>27</v>
      </c>
      <c r="B72" s="4">
        <v>46008</v>
      </c>
      <c r="C72" t="s">
        <v>66</v>
      </c>
      <c r="D72" t="s">
        <v>5</v>
      </c>
      <c r="E72" t="s">
        <v>31</v>
      </c>
      <c r="F72">
        <v>261</v>
      </c>
      <c r="G72">
        <v>4500</v>
      </c>
      <c r="H72">
        <v>22500</v>
      </c>
      <c r="I72" t="s">
        <v>13</v>
      </c>
      <c r="J72">
        <v>2025</v>
      </c>
    </row>
    <row r="73" spans="1:10" x14ac:dyDescent="0.3">
      <c r="A73">
        <v>28</v>
      </c>
      <c r="B73" s="4">
        <v>46009</v>
      </c>
      <c r="C73" t="s">
        <v>90</v>
      </c>
      <c r="D73" t="s">
        <v>3</v>
      </c>
      <c r="E73" t="s">
        <v>24</v>
      </c>
      <c r="F73">
        <v>276</v>
      </c>
      <c r="G73">
        <v>90</v>
      </c>
      <c r="H73">
        <v>5400</v>
      </c>
      <c r="I73" t="s">
        <v>13</v>
      </c>
      <c r="J73">
        <v>2025</v>
      </c>
    </row>
    <row r="74" spans="1:10" x14ac:dyDescent="0.3">
      <c r="A74">
        <v>29</v>
      </c>
      <c r="B74" s="4">
        <v>46010</v>
      </c>
      <c r="C74" t="s">
        <v>91</v>
      </c>
      <c r="D74" t="s">
        <v>2</v>
      </c>
      <c r="E74" t="s">
        <v>39</v>
      </c>
      <c r="F74">
        <v>291</v>
      </c>
      <c r="G74">
        <v>200</v>
      </c>
      <c r="H74">
        <v>3600</v>
      </c>
      <c r="I74" t="s">
        <v>13</v>
      </c>
      <c r="J74">
        <v>2025</v>
      </c>
    </row>
    <row r="75" spans="1:10" x14ac:dyDescent="0.3">
      <c r="A75">
        <v>30</v>
      </c>
      <c r="B75" s="4">
        <v>46011</v>
      </c>
      <c r="C75" t="s">
        <v>92</v>
      </c>
      <c r="D75" t="s">
        <v>4</v>
      </c>
      <c r="E75" t="s">
        <v>19</v>
      </c>
      <c r="F75">
        <v>306</v>
      </c>
      <c r="G75">
        <v>800</v>
      </c>
      <c r="H75">
        <v>9600</v>
      </c>
      <c r="I75" t="s">
        <v>13</v>
      </c>
      <c r="J75">
        <v>2025</v>
      </c>
    </row>
    <row r="76" spans="1:10" x14ac:dyDescent="0.3">
      <c r="A76">
        <v>31</v>
      </c>
      <c r="B76" s="4">
        <v>46012</v>
      </c>
      <c r="C76" t="s">
        <v>93</v>
      </c>
      <c r="D76" t="s">
        <v>5</v>
      </c>
      <c r="E76" t="s">
        <v>21</v>
      </c>
      <c r="F76">
        <v>321</v>
      </c>
      <c r="G76">
        <v>9000</v>
      </c>
      <c r="H76">
        <v>27000</v>
      </c>
      <c r="I76" t="s">
        <v>13</v>
      </c>
      <c r="J76">
        <v>2025</v>
      </c>
    </row>
    <row r="77" spans="1:10" x14ac:dyDescent="0.3">
      <c r="A77">
        <v>32</v>
      </c>
      <c r="B77" s="4">
        <v>46013</v>
      </c>
      <c r="C77" t="s">
        <v>71</v>
      </c>
      <c r="D77" t="s">
        <v>3</v>
      </c>
      <c r="E77" t="s">
        <v>33</v>
      </c>
      <c r="F77">
        <v>336</v>
      </c>
      <c r="G77">
        <v>400</v>
      </c>
      <c r="H77">
        <v>14000</v>
      </c>
      <c r="I77" t="s">
        <v>13</v>
      </c>
      <c r="J77">
        <v>2025</v>
      </c>
    </row>
    <row r="78" spans="1:10" x14ac:dyDescent="0.3">
      <c r="A78">
        <v>33</v>
      </c>
      <c r="B78" s="4">
        <v>46014</v>
      </c>
      <c r="C78" t="s">
        <v>72</v>
      </c>
      <c r="D78" t="s">
        <v>2</v>
      </c>
      <c r="E78" t="s">
        <v>38</v>
      </c>
      <c r="F78">
        <v>351</v>
      </c>
      <c r="G78">
        <v>75</v>
      </c>
      <c r="H78">
        <v>3750</v>
      </c>
      <c r="I78" t="s">
        <v>13</v>
      </c>
      <c r="J78">
        <v>2025</v>
      </c>
    </row>
    <row r="79" spans="1:10" x14ac:dyDescent="0.3">
      <c r="A79">
        <v>34</v>
      </c>
      <c r="B79" s="4">
        <v>46015</v>
      </c>
      <c r="C79" t="s">
        <v>94</v>
      </c>
      <c r="D79" t="s">
        <v>4</v>
      </c>
      <c r="E79" t="s">
        <v>36</v>
      </c>
      <c r="F79">
        <v>366</v>
      </c>
      <c r="G79">
        <v>1500</v>
      </c>
      <c r="H79">
        <v>13500</v>
      </c>
      <c r="I79" t="s">
        <v>13</v>
      </c>
      <c r="J79">
        <v>2025</v>
      </c>
    </row>
    <row r="80" spans="1:10" x14ac:dyDescent="0.3">
      <c r="A80">
        <v>35</v>
      </c>
      <c r="B80" s="4">
        <v>46016</v>
      </c>
      <c r="C80" t="s">
        <v>95</v>
      </c>
      <c r="D80" t="s">
        <v>5</v>
      </c>
      <c r="E80" t="s">
        <v>35</v>
      </c>
      <c r="F80">
        <v>381</v>
      </c>
      <c r="G80">
        <v>250</v>
      </c>
      <c r="H80">
        <v>5500</v>
      </c>
      <c r="I80" t="s">
        <v>13</v>
      </c>
      <c r="J80">
        <v>2025</v>
      </c>
    </row>
    <row r="81" spans="1:10" x14ac:dyDescent="0.3">
      <c r="A81">
        <v>36</v>
      </c>
      <c r="B81" s="4">
        <v>46017</v>
      </c>
      <c r="C81" t="s">
        <v>75</v>
      </c>
      <c r="D81" t="s">
        <v>3</v>
      </c>
      <c r="E81" t="s">
        <v>30</v>
      </c>
      <c r="F81">
        <v>396</v>
      </c>
      <c r="G81">
        <v>120</v>
      </c>
      <c r="H81">
        <v>9600</v>
      </c>
      <c r="I81" t="s">
        <v>13</v>
      </c>
      <c r="J81">
        <v>2025</v>
      </c>
    </row>
    <row r="82" spans="1:10" x14ac:dyDescent="0.3">
      <c r="A82">
        <v>37</v>
      </c>
      <c r="B82" s="4">
        <v>46018</v>
      </c>
      <c r="C82" t="s">
        <v>96</v>
      </c>
      <c r="D82" t="s">
        <v>2</v>
      </c>
      <c r="E82" t="s">
        <v>32</v>
      </c>
      <c r="F82">
        <v>411</v>
      </c>
      <c r="G82">
        <v>3000</v>
      </c>
      <c r="H82">
        <v>12000</v>
      </c>
      <c r="I82" t="s">
        <v>13</v>
      </c>
      <c r="J82">
        <v>2025</v>
      </c>
    </row>
    <row r="83" spans="1:10" x14ac:dyDescent="0.3">
      <c r="A83">
        <v>38</v>
      </c>
      <c r="B83" s="4">
        <v>46019</v>
      </c>
      <c r="C83" t="s">
        <v>77</v>
      </c>
      <c r="D83" t="s">
        <v>4</v>
      </c>
      <c r="E83" t="s">
        <v>25</v>
      </c>
      <c r="F83">
        <v>426</v>
      </c>
      <c r="G83">
        <v>40</v>
      </c>
      <c r="H83">
        <v>3800</v>
      </c>
      <c r="I83" t="s">
        <v>13</v>
      </c>
      <c r="J83">
        <v>2025</v>
      </c>
    </row>
    <row r="84" spans="1:10" x14ac:dyDescent="0.3">
      <c r="A84">
        <v>39</v>
      </c>
      <c r="B84" s="4">
        <v>46020</v>
      </c>
      <c r="C84" t="s">
        <v>78</v>
      </c>
      <c r="D84" t="s">
        <v>5</v>
      </c>
      <c r="E84" t="s">
        <v>34</v>
      </c>
      <c r="F84">
        <v>441</v>
      </c>
      <c r="G84">
        <v>700</v>
      </c>
      <c r="H84">
        <v>7000</v>
      </c>
      <c r="I84" t="s">
        <v>13</v>
      </c>
      <c r="J84">
        <v>2025</v>
      </c>
    </row>
    <row r="85" spans="1:10" x14ac:dyDescent="0.3">
      <c r="A85">
        <v>40</v>
      </c>
      <c r="B85" s="4">
        <v>46021</v>
      </c>
      <c r="C85" t="s">
        <v>97</v>
      </c>
      <c r="D85" t="s">
        <v>3</v>
      </c>
      <c r="E85" t="s">
        <v>18</v>
      </c>
      <c r="F85">
        <v>456</v>
      </c>
      <c r="G85">
        <v>950</v>
      </c>
      <c r="H85">
        <v>6650</v>
      </c>
      <c r="I85" t="s">
        <v>13</v>
      </c>
      <c r="J85">
        <v>2025</v>
      </c>
    </row>
    <row r="86" spans="1:10" x14ac:dyDescent="0.3">
      <c r="A86">
        <v>41</v>
      </c>
      <c r="B86" s="4">
        <v>46022</v>
      </c>
      <c r="C86" t="s">
        <v>98</v>
      </c>
      <c r="D86" t="s">
        <v>2</v>
      </c>
      <c r="E86" t="s">
        <v>40</v>
      </c>
      <c r="F86">
        <v>471</v>
      </c>
      <c r="G86">
        <v>180</v>
      </c>
      <c r="H86">
        <v>5400</v>
      </c>
      <c r="I86" t="s">
        <v>13</v>
      </c>
      <c r="J86">
        <v>2025</v>
      </c>
    </row>
    <row r="87" spans="1:10" x14ac:dyDescent="0.3">
      <c r="A87">
        <v>42</v>
      </c>
      <c r="B87" s="4">
        <v>46023</v>
      </c>
      <c r="C87" t="s">
        <v>99</v>
      </c>
      <c r="D87" t="s">
        <v>4</v>
      </c>
      <c r="E87" t="s">
        <v>20</v>
      </c>
      <c r="F87">
        <v>486</v>
      </c>
      <c r="G87">
        <v>60</v>
      </c>
      <c r="H87">
        <v>3300</v>
      </c>
      <c r="I87" t="s">
        <v>8</v>
      </c>
      <c r="J87">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95C8-3C68-4FF3-98EA-ACD63942D61E}">
  <dimension ref="A1:I42"/>
  <sheetViews>
    <sheetView workbookViewId="0">
      <selection activeCell="D8" sqref="D8"/>
    </sheetView>
  </sheetViews>
  <sheetFormatPr defaultRowHeight="14.4" x14ac:dyDescent="0.3"/>
  <cols>
    <col min="1" max="1" width="12.44140625" bestFit="1" customWidth="1"/>
    <col min="2" max="2" width="16.44140625" bestFit="1" customWidth="1"/>
    <col min="3" max="3" width="13.5546875" bestFit="1" customWidth="1"/>
    <col min="4" max="4" width="14.6640625" bestFit="1" customWidth="1"/>
    <col min="6" max="6" width="12.44140625" bestFit="1" customWidth="1"/>
    <col min="7" max="7" width="13.5546875" bestFit="1" customWidth="1"/>
    <col min="8" max="10" width="9.88671875" bestFit="1" customWidth="1"/>
  </cols>
  <sheetData>
    <row r="1" spans="1:7" x14ac:dyDescent="0.3">
      <c r="A1" s="1" t="s">
        <v>1</v>
      </c>
      <c r="B1" t="s">
        <v>0</v>
      </c>
    </row>
    <row r="2" spans="1:7" x14ac:dyDescent="0.3">
      <c r="A2" s="2" t="s">
        <v>2</v>
      </c>
      <c r="B2" s="6">
        <v>289280</v>
      </c>
    </row>
    <row r="3" spans="1:7" x14ac:dyDescent="0.3">
      <c r="A3" s="2" t="s">
        <v>3</v>
      </c>
      <c r="B3" s="6">
        <v>522340</v>
      </c>
      <c r="C3" t="s">
        <v>0</v>
      </c>
    </row>
    <row r="4" spans="1:7" x14ac:dyDescent="0.3">
      <c r="A4" s="2" t="s">
        <v>4</v>
      </c>
      <c r="B4" s="6">
        <v>819760</v>
      </c>
      <c r="C4" s="6">
        <v>1823880</v>
      </c>
      <c r="D4">
        <f>GETPIVOTDATA("Amount",$C$3)</f>
        <v>1823880</v>
      </c>
    </row>
    <row r="5" spans="1:7" x14ac:dyDescent="0.3">
      <c r="A5" s="2" t="s">
        <v>5</v>
      </c>
      <c r="B5" s="6">
        <v>192500</v>
      </c>
    </row>
    <row r="6" spans="1:7" x14ac:dyDescent="0.3">
      <c r="A6" s="2" t="s">
        <v>6</v>
      </c>
      <c r="B6" s="6">
        <v>1823880</v>
      </c>
    </row>
    <row r="8" spans="1:7" x14ac:dyDescent="0.3">
      <c r="D8" t="s">
        <v>41</v>
      </c>
    </row>
    <row r="9" spans="1:7" x14ac:dyDescent="0.3">
      <c r="B9" s="1" t="s">
        <v>1</v>
      </c>
      <c r="C9" t="s">
        <v>0</v>
      </c>
      <c r="D9" s="6">
        <v>84</v>
      </c>
      <c r="E9">
        <f>GETPIVOTDATA("Amount",$D$8)</f>
        <v>84</v>
      </c>
    </row>
    <row r="10" spans="1:7" x14ac:dyDescent="0.3">
      <c r="B10" s="2">
        <v>2025</v>
      </c>
      <c r="C10" s="6">
        <v>1785280</v>
      </c>
    </row>
    <row r="11" spans="1:7" x14ac:dyDescent="0.3">
      <c r="B11" s="2">
        <v>2026</v>
      </c>
      <c r="C11" s="6">
        <v>38600</v>
      </c>
    </row>
    <row r="12" spans="1:7" x14ac:dyDescent="0.3">
      <c r="B12" s="2" t="s">
        <v>6</v>
      </c>
      <c r="C12" s="6">
        <v>1823880</v>
      </c>
    </row>
    <row r="14" spans="1:7" x14ac:dyDescent="0.3">
      <c r="B14" s="1" t="s">
        <v>1</v>
      </c>
      <c r="C14" t="s">
        <v>0</v>
      </c>
    </row>
    <row r="15" spans="1:7" x14ac:dyDescent="0.3">
      <c r="B15" s="2" t="s">
        <v>14</v>
      </c>
      <c r="C15" s="6">
        <v>18720</v>
      </c>
      <c r="F15" s="1" t="s">
        <v>1</v>
      </c>
      <c r="G15" t="s">
        <v>0</v>
      </c>
    </row>
    <row r="16" spans="1:7" x14ac:dyDescent="0.3">
      <c r="B16" s="2" t="s">
        <v>15</v>
      </c>
      <c r="C16" s="6">
        <v>16200</v>
      </c>
      <c r="F16" s="2" t="s">
        <v>8</v>
      </c>
      <c r="G16" s="6">
        <v>3300</v>
      </c>
    </row>
    <row r="17" spans="2:9" x14ac:dyDescent="0.3">
      <c r="B17" s="2" t="s">
        <v>16</v>
      </c>
      <c r="C17" s="6">
        <v>764000</v>
      </c>
      <c r="F17" s="2" t="s">
        <v>9</v>
      </c>
      <c r="G17" s="6">
        <v>35300</v>
      </c>
    </row>
    <row r="18" spans="2:9" x14ac:dyDescent="0.3">
      <c r="B18" s="2" t="s">
        <v>17</v>
      </c>
      <c r="C18" s="6">
        <v>430800</v>
      </c>
      <c r="F18" s="2" t="s">
        <v>10</v>
      </c>
      <c r="G18" s="6">
        <v>644440</v>
      </c>
    </row>
    <row r="19" spans="2:9" x14ac:dyDescent="0.3">
      <c r="B19" s="2" t="s">
        <v>18</v>
      </c>
      <c r="C19" s="6">
        <v>13300</v>
      </c>
      <c r="F19" s="2" t="s">
        <v>11</v>
      </c>
      <c r="G19" s="6">
        <v>42050</v>
      </c>
    </row>
    <row r="20" spans="2:9" x14ac:dyDescent="0.3">
      <c r="B20" s="2" t="s">
        <v>19</v>
      </c>
      <c r="C20" s="6">
        <v>19200</v>
      </c>
      <c r="F20" s="2" t="s">
        <v>12</v>
      </c>
      <c r="G20" s="6">
        <v>797890</v>
      </c>
    </row>
    <row r="21" spans="2:9" x14ac:dyDescent="0.3">
      <c r="B21" s="2" t="s">
        <v>20</v>
      </c>
      <c r="C21" s="6">
        <v>6600</v>
      </c>
      <c r="F21" s="2" t="s">
        <v>13</v>
      </c>
      <c r="G21" s="6">
        <v>300900</v>
      </c>
    </row>
    <row r="22" spans="2:9" x14ac:dyDescent="0.3">
      <c r="B22" s="2" t="s">
        <v>21</v>
      </c>
      <c r="C22" s="6">
        <v>54000</v>
      </c>
      <c r="F22" s="2" t="s">
        <v>6</v>
      </c>
      <c r="G22" s="6">
        <v>1823880</v>
      </c>
    </row>
    <row r="23" spans="2:9" x14ac:dyDescent="0.3">
      <c r="B23" s="2" t="s">
        <v>22</v>
      </c>
      <c r="C23" s="6">
        <v>19600</v>
      </c>
    </row>
    <row r="24" spans="2:9" x14ac:dyDescent="0.3">
      <c r="B24" s="2" t="s">
        <v>23</v>
      </c>
      <c r="C24" s="6">
        <v>12000</v>
      </c>
    </row>
    <row r="25" spans="2:9" x14ac:dyDescent="0.3">
      <c r="B25" s="2" t="s">
        <v>24</v>
      </c>
      <c r="C25" s="6">
        <v>10800</v>
      </c>
    </row>
    <row r="26" spans="2:9" x14ac:dyDescent="0.3">
      <c r="B26" s="2" t="s">
        <v>25</v>
      </c>
      <c r="C26" s="6">
        <v>7600</v>
      </c>
      <c r="H26" t="s">
        <v>7</v>
      </c>
    </row>
    <row r="27" spans="2:9" x14ac:dyDescent="0.3">
      <c r="B27" s="2" t="s">
        <v>26</v>
      </c>
      <c r="C27" s="6">
        <v>36000</v>
      </c>
      <c r="H27" s="6">
        <v>11191</v>
      </c>
      <c r="I27">
        <f>GETPIVOTDATA("Qty",$H$26)</f>
        <v>11191</v>
      </c>
    </row>
    <row r="28" spans="2:9" x14ac:dyDescent="0.3">
      <c r="B28" s="2" t="s">
        <v>27</v>
      </c>
      <c r="C28" s="6">
        <v>7500</v>
      </c>
    </row>
    <row r="29" spans="2:9" x14ac:dyDescent="0.3">
      <c r="B29" s="2" t="s">
        <v>28</v>
      </c>
      <c r="C29" s="6">
        <v>50300</v>
      </c>
    </row>
    <row r="30" spans="2:9" x14ac:dyDescent="0.3">
      <c r="B30" s="2" t="s">
        <v>29</v>
      </c>
      <c r="C30" s="6">
        <v>24960</v>
      </c>
    </row>
    <row r="31" spans="2:9" x14ac:dyDescent="0.3">
      <c r="B31" s="2" t="s">
        <v>30</v>
      </c>
      <c r="C31" s="6">
        <v>19200</v>
      </c>
    </row>
    <row r="32" spans="2:9" x14ac:dyDescent="0.3">
      <c r="B32" s="2" t="s">
        <v>31</v>
      </c>
      <c r="C32" s="6">
        <v>45000</v>
      </c>
    </row>
    <row r="33" spans="2:3" x14ac:dyDescent="0.3">
      <c r="B33" s="2" t="s">
        <v>32</v>
      </c>
      <c r="C33" s="6">
        <v>24000</v>
      </c>
    </row>
    <row r="34" spans="2:3" x14ac:dyDescent="0.3">
      <c r="B34" s="2" t="s">
        <v>33</v>
      </c>
      <c r="C34" s="6">
        <v>28000</v>
      </c>
    </row>
    <row r="35" spans="2:3" x14ac:dyDescent="0.3">
      <c r="B35" s="2" t="s">
        <v>34</v>
      </c>
      <c r="C35" s="6">
        <v>14000</v>
      </c>
    </row>
    <row r="36" spans="2:3" x14ac:dyDescent="0.3">
      <c r="B36" s="2" t="s">
        <v>35</v>
      </c>
      <c r="C36" s="6">
        <v>11000</v>
      </c>
    </row>
    <row r="37" spans="2:3" x14ac:dyDescent="0.3">
      <c r="B37" s="2" t="s">
        <v>36</v>
      </c>
      <c r="C37" s="6">
        <v>27000</v>
      </c>
    </row>
    <row r="38" spans="2:3" x14ac:dyDescent="0.3">
      <c r="B38" s="2" t="s">
        <v>37</v>
      </c>
      <c r="C38" s="6">
        <v>138600</v>
      </c>
    </row>
    <row r="39" spans="2:3" x14ac:dyDescent="0.3">
      <c r="B39" s="2" t="s">
        <v>38</v>
      </c>
      <c r="C39" s="6">
        <v>7500</v>
      </c>
    </row>
    <row r="40" spans="2:3" x14ac:dyDescent="0.3">
      <c r="B40" s="2" t="s">
        <v>39</v>
      </c>
      <c r="C40" s="6">
        <v>7200</v>
      </c>
    </row>
    <row r="41" spans="2:3" x14ac:dyDescent="0.3">
      <c r="B41" s="2" t="s">
        <v>40</v>
      </c>
      <c r="C41" s="6">
        <v>10800</v>
      </c>
    </row>
    <row r="42" spans="2:3" x14ac:dyDescent="0.3">
      <c r="B42" s="2" t="s">
        <v>6</v>
      </c>
      <c r="C42" s="6">
        <v>1823880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0D3C-90EC-479C-8D00-1379F811DFC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2AED-D866-4C92-9BBF-0AB3ABD8D106}">
  <dimension ref="A1"/>
  <sheetViews>
    <sheetView showGridLines="0" tabSelected="1" zoomScale="115" zoomScaleNormal="115" workbookViewId="0">
      <selection activeCell="P8" sqref="P8"/>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B7FB8E-FC55-4C94-A773-EDB706A173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Sales</vt:lpstr>
      <vt:lpstr>Sheet2</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ups</dc:creator>
  <cp:lastModifiedBy>ups</cp:lastModifiedBy>
  <dcterms:created xsi:type="dcterms:W3CDTF">2026-02-05T14:18:07Z</dcterms:created>
  <dcterms:modified xsi:type="dcterms:W3CDTF">2026-02-07T16:25:44Z</dcterms:modified>
</cp:coreProperties>
</file>